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3.xml" ContentType="application/vnd.openxmlformats-officedocument.drawing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5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8.xml" ContentType="application/vnd.openxmlformats-officedocument.drawing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9.xml" ContentType="application/vnd.openxmlformats-officedocument.drawing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1.xml" ContentType="application/vnd.openxmlformats-officedocument.drawing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2.xml" ContentType="application/vnd.openxmlformats-officedocument.drawing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3.xml" ContentType="application/vnd.openxmlformats-officedocument.drawing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4.xml" ContentType="application/vnd.openxmlformats-officedocument.drawing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5.xml" ContentType="application/vnd.openxmlformats-officedocument.drawing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6.xml" ContentType="application/vnd.openxmlformats-officedocument.drawing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7.xml" ContentType="application/vnd.openxmlformats-officedocument.drawing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R:\PMD-Document-(Sharing)\10. Scan document (P.I.C. Utumporn)\For Save\SUMMARY AND EVALUTION\SUMMARY EVALUATION 2026\Summary Evaluation Report Monthly\"/>
    </mc:Choice>
  </mc:AlternateContent>
  <xr:revisionPtr revIDLastSave="277" documentId="13_ncr:1_{A7691AD0-0A4F-410A-A797-EE6717D61000}" xr6:coauthVersionLast="47" xr6:coauthVersionMax="47" xr10:uidLastSave="{4D96809E-F6A9-44C9-A38E-C2EC6607E710}"/>
  <bookViews>
    <workbookView xWindow="-120" yWindow="-120" windowWidth="20730" windowHeight="11040" tabRatio="818" firstSheet="34" activeTab="25" xr2:uid="{00000000-000D-0000-FFFF-FFFF00000000}"/>
  </bookViews>
  <sheets>
    <sheet name="FM0704-3 Rev.2(P.1)" sheetId="6" r:id="rId1"/>
    <sheet name="FM0704-3 Rev.2(P.2)" sheetId="2" r:id="rId2"/>
    <sheet name="ตัวอย่างสูตร" sheetId="7" r:id="rId3"/>
    <sheet name="Summary Mat" sheetId="39" r:id="rId4"/>
    <sheet name="Summary Part" sheetId="40" r:id="rId5"/>
    <sheet name="NISSAN SPRING" sheetId="42" r:id="rId6"/>
    <sheet name="ETO" sheetId="45" r:id="rId7"/>
    <sheet name="SCS" sheetId="46" r:id="rId8"/>
    <sheet name="AKIYAMA JP" sheetId="47" r:id="rId9"/>
    <sheet name="AKIYAMA SC" sheetId="48" r:id="rId10"/>
    <sheet name="AMINO" sheetId="49" r:id="rId11"/>
    <sheet name="APOLLO" sheetId="50" r:id="rId12"/>
    <sheet name="ASAI THAI" sheetId="51" r:id="rId13"/>
    <sheet name="ALMET THAI" sheetId="52" r:id="rId14"/>
    <sheet name="BEDRA" sheetId="53" r:id="rId15"/>
    <sheet name="BGH" sheetId="54" r:id="rId16"/>
    <sheet name="CAMELLIA" sheetId="55" r:id="rId17"/>
    <sheet name="DAIDO" sheetId="56" r:id="rId18"/>
    <sheet name="DONGGUAN" sheetId="57" r:id="rId19"/>
    <sheet name="JIANGSU" sheetId="58" r:id="rId20"/>
    <sheet name="KOMATSU" sheetId="59" r:id="rId21"/>
    <sheet name="KYOTO" sheetId="60" r:id="rId22"/>
    <sheet name="LMAT" sheetId="61" r:id="rId23"/>
    <sheet name="LOTUS" sheetId="62" r:id="rId24"/>
    <sheet name="MENAM" sheetId="63" r:id="rId25"/>
    <sheet name="NIPPON STEEL" sheetId="64" r:id="rId26"/>
    <sheet name="NSL" sheetId="65" r:id="rId27"/>
    <sheet name="OKAYA P+M" sheetId="66" r:id="rId28"/>
    <sheet name="SAKUMA" sheetId="67" r:id="rId29"/>
    <sheet name="SHINSHO THAI" sheetId="68" r:id="rId30"/>
    <sheet name="SHINSHO COR P+M" sheetId="70" r:id="rId31"/>
    <sheet name="STEELTEC" sheetId="69" r:id="rId32"/>
    <sheet name="TSK" sheetId="71" r:id="rId33"/>
    <sheet name="UGITECH" sheetId="72" r:id="rId34"/>
    <sheet name="VOESTALPINE" sheetId="73" r:id="rId35"/>
    <sheet name="No eva. NST" sheetId="38" r:id="rId36"/>
    <sheet name="No eva YAMAICHI" sheetId="37" r:id="rId37"/>
  </sheets>
  <externalReferences>
    <externalReference r:id="rId38"/>
  </externalReferences>
  <definedNames>
    <definedName name="\a" localSheetId="8">#REF!</definedName>
    <definedName name="\a" localSheetId="9">#REF!</definedName>
    <definedName name="\a" localSheetId="13">#REF!</definedName>
    <definedName name="\a" localSheetId="10">#REF!</definedName>
    <definedName name="\a" localSheetId="12">#REF!</definedName>
    <definedName name="\a" localSheetId="14">#REF!</definedName>
    <definedName name="\a" localSheetId="15">#REF!</definedName>
    <definedName name="\a" localSheetId="16">#REF!</definedName>
    <definedName name="\a" localSheetId="17">#REF!</definedName>
    <definedName name="\a" localSheetId="18">#REF!</definedName>
    <definedName name="\a" localSheetId="6">#REF!</definedName>
    <definedName name="\a" localSheetId="19">#REF!</definedName>
    <definedName name="\a" localSheetId="20">#REF!</definedName>
    <definedName name="\a" localSheetId="21">#REF!</definedName>
    <definedName name="\a" localSheetId="22">#REF!</definedName>
    <definedName name="\a" localSheetId="23">#REF!</definedName>
    <definedName name="\a" localSheetId="24">#REF!</definedName>
    <definedName name="\a" localSheetId="25">#REF!</definedName>
    <definedName name="\a" localSheetId="26">#REF!</definedName>
    <definedName name="\a" localSheetId="27">#REF!</definedName>
    <definedName name="\a" localSheetId="28">#REF!</definedName>
    <definedName name="\a" localSheetId="7">#REF!</definedName>
    <definedName name="\a" localSheetId="30">#REF!</definedName>
    <definedName name="\a" localSheetId="29">#REF!</definedName>
    <definedName name="\a" localSheetId="31">#REF!</definedName>
    <definedName name="\a" localSheetId="32">#REF!</definedName>
    <definedName name="\a" localSheetId="33">#REF!</definedName>
    <definedName name="\a" localSheetId="34">#REF!</definedName>
    <definedName name="\a">#REF!</definedName>
    <definedName name="_Fill" localSheetId="8" hidden="1">#REF!</definedName>
    <definedName name="_Fill" localSheetId="9" hidden="1">#REF!</definedName>
    <definedName name="_Fill" localSheetId="13" hidden="1">#REF!</definedName>
    <definedName name="_Fill" localSheetId="10" hidden="1">#REF!</definedName>
    <definedName name="_Fill" localSheetId="12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7" hidden="1">#REF!</definedName>
    <definedName name="_Fill" localSheetId="18" hidden="1">#REF!</definedName>
    <definedName name="_Fill" localSheetId="6" hidden="1">#REF!</definedName>
    <definedName name="_Fill" localSheetId="19" hidden="1">#REF!</definedName>
    <definedName name="_Fill" localSheetId="20" hidden="1">#REF!</definedName>
    <definedName name="_Fill" localSheetId="21" hidden="1">#REF!</definedName>
    <definedName name="_Fill" localSheetId="22" hidden="1">#REF!</definedName>
    <definedName name="_Fill" localSheetId="23" hidden="1">#REF!</definedName>
    <definedName name="_Fill" localSheetId="24" hidden="1">#REF!</definedName>
    <definedName name="_Fill" localSheetId="25" hidden="1">#REF!</definedName>
    <definedName name="_Fill" localSheetId="26" hidden="1">#REF!</definedName>
    <definedName name="_Fill" localSheetId="27" hidden="1">#REF!</definedName>
    <definedName name="_Fill" localSheetId="28" hidden="1">#REF!</definedName>
    <definedName name="_Fill" localSheetId="7" hidden="1">#REF!</definedName>
    <definedName name="_Fill" localSheetId="30" hidden="1">#REF!</definedName>
    <definedName name="_Fill" localSheetId="29" hidden="1">#REF!</definedName>
    <definedName name="_Fill" localSheetId="31" hidden="1">#REF!</definedName>
    <definedName name="_Fill" localSheetId="32" hidden="1">#REF!</definedName>
    <definedName name="_Fill" localSheetId="33" hidden="1">#REF!</definedName>
    <definedName name="_Fill" localSheetId="34" hidden="1">#REF!</definedName>
    <definedName name="_Fill" hidden="1">#REF!</definedName>
    <definedName name="_xlnm._FilterDatabase" localSheetId="3" hidden="1">'Summary Mat'!$A$16:$AG$44</definedName>
    <definedName name="_xlnm._FilterDatabase" localSheetId="4" hidden="1">'Summary Part'!$A$17:$AG$34</definedName>
    <definedName name="_Key1" localSheetId="8" hidden="1">#REF!</definedName>
    <definedName name="_Key1" localSheetId="9" hidden="1">#REF!</definedName>
    <definedName name="_Key1" localSheetId="13" hidden="1">#REF!</definedName>
    <definedName name="_Key1" localSheetId="10" hidden="1">#REF!</definedName>
    <definedName name="_Key1" localSheetId="12" hidden="1">#REF!</definedName>
    <definedName name="_Key1" localSheetId="14" hidden="1">#REF!</definedName>
    <definedName name="_Key1" localSheetId="15" hidden="1">#REF!</definedName>
    <definedName name="_Key1" localSheetId="16" hidden="1">#REF!</definedName>
    <definedName name="_Key1" localSheetId="17" hidden="1">#REF!</definedName>
    <definedName name="_Key1" localSheetId="18" hidden="1">#REF!</definedName>
    <definedName name="_Key1" localSheetId="6" hidden="1">#REF!</definedName>
    <definedName name="_Key1" localSheetId="19" hidden="1">#REF!</definedName>
    <definedName name="_Key1" localSheetId="20" hidden="1">#REF!</definedName>
    <definedName name="_Key1" localSheetId="21" hidden="1">#REF!</definedName>
    <definedName name="_Key1" localSheetId="22" hidden="1">#REF!</definedName>
    <definedName name="_Key1" localSheetId="23" hidden="1">#REF!</definedName>
    <definedName name="_Key1" localSheetId="24" hidden="1">#REF!</definedName>
    <definedName name="_Key1" localSheetId="25" hidden="1">#REF!</definedName>
    <definedName name="_Key1" localSheetId="26" hidden="1">#REF!</definedName>
    <definedName name="_Key1" localSheetId="27" hidden="1">#REF!</definedName>
    <definedName name="_Key1" localSheetId="28" hidden="1">#REF!</definedName>
    <definedName name="_Key1" localSheetId="7" hidden="1">#REF!</definedName>
    <definedName name="_Key1" localSheetId="30" hidden="1">#REF!</definedName>
    <definedName name="_Key1" localSheetId="29" hidden="1">#REF!</definedName>
    <definedName name="_Key1" localSheetId="31" hidden="1">#REF!</definedName>
    <definedName name="_Key1" localSheetId="32" hidden="1">#REF!</definedName>
    <definedName name="_Key1" localSheetId="33" hidden="1">#REF!</definedName>
    <definedName name="_Key1" localSheetId="34" hidden="1">#REF!</definedName>
    <definedName name="_Key1" hidden="1">#REF!</definedName>
    <definedName name="_Order1" hidden="1">255</definedName>
    <definedName name="_Sort" localSheetId="8" hidden="1">#REF!</definedName>
    <definedName name="_Sort" localSheetId="9" hidden="1">#REF!</definedName>
    <definedName name="_Sort" localSheetId="13" hidden="1">#REF!</definedName>
    <definedName name="_Sort" localSheetId="10" hidden="1">#REF!</definedName>
    <definedName name="_Sort" localSheetId="12" hidden="1">#REF!</definedName>
    <definedName name="_Sort" localSheetId="14" hidden="1">#REF!</definedName>
    <definedName name="_Sort" localSheetId="15" hidden="1">#REF!</definedName>
    <definedName name="_Sort" localSheetId="16" hidden="1">#REF!</definedName>
    <definedName name="_Sort" localSheetId="17" hidden="1">#REF!</definedName>
    <definedName name="_Sort" localSheetId="18" hidden="1">#REF!</definedName>
    <definedName name="_Sort" localSheetId="6" hidden="1">#REF!</definedName>
    <definedName name="_Sort" localSheetId="19" hidden="1">#REF!</definedName>
    <definedName name="_Sort" localSheetId="20" hidden="1">#REF!</definedName>
    <definedName name="_Sort" localSheetId="21" hidden="1">#REF!</definedName>
    <definedName name="_Sort" localSheetId="22" hidden="1">#REF!</definedName>
    <definedName name="_Sort" localSheetId="23" hidden="1">#REF!</definedName>
    <definedName name="_Sort" localSheetId="24" hidden="1">#REF!</definedName>
    <definedName name="_Sort" localSheetId="25" hidden="1">#REF!</definedName>
    <definedName name="_Sort" localSheetId="26" hidden="1">#REF!</definedName>
    <definedName name="_Sort" localSheetId="27" hidden="1">#REF!</definedName>
    <definedName name="_Sort" localSheetId="28" hidden="1">#REF!</definedName>
    <definedName name="_Sort" localSheetId="7" hidden="1">#REF!</definedName>
    <definedName name="_Sort" localSheetId="30" hidden="1">#REF!</definedName>
    <definedName name="_Sort" localSheetId="29" hidden="1">#REF!</definedName>
    <definedName name="_Sort" localSheetId="31" hidden="1">#REF!</definedName>
    <definedName name="_Sort" localSheetId="32" hidden="1">#REF!</definedName>
    <definedName name="_Sort" localSheetId="33" hidden="1">#REF!</definedName>
    <definedName name="_Sort" localSheetId="34" hidden="1">#REF!</definedName>
    <definedName name="_Sort" hidden="1">#REF!</definedName>
    <definedName name="ACCP" localSheetId="8">#REF!</definedName>
    <definedName name="ACCP" localSheetId="9">#REF!</definedName>
    <definedName name="ACCP" localSheetId="13">#REF!</definedName>
    <definedName name="ACCP" localSheetId="10">#REF!</definedName>
    <definedName name="ACCP" localSheetId="12">#REF!</definedName>
    <definedName name="ACCP" localSheetId="14">#REF!</definedName>
    <definedName name="ACCP" localSheetId="15">#REF!</definedName>
    <definedName name="ACCP" localSheetId="16">#REF!</definedName>
    <definedName name="ACCP" localSheetId="17">#REF!</definedName>
    <definedName name="ACCP" localSheetId="18">#REF!</definedName>
    <definedName name="ACCP" localSheetId="6">#REF!</definedName>
    <definedName name="ACCP" localSheetId="19">#REF!</definedName>
    <definedName name="ACCP" localSheetId="20">#REF!</definedName>
    <definedName name="ACCP" localSheetId="21">#REF!</definedName>
    <definedName name="ACCP" localSheetId="22">#REF!</definedName>
    <definedName name="ACCP" localSheetId="23">#REF!</definedName>
    <definedName name="ACCP" localSheetId="24">#REF!</definedName>
    <definedName name="ACCP" localSheetId="25">#REF!</definedName>
    <definedName name="ACCP" localSheetId="26">#REF!</definedName>
    <definedName name="ACCP" localSheetId="27">#REF!</definedName>
    <definedName name="ACCP" localSheetId="28">#REF!</definedName>
    <definedName name="ACCP" localSheetId="7">#REF!</definedName>
    <definedName name="ACCP" localSheetId="30">#REF!</definedName>
    <definedName name="ACCP" localSheetId="29">#REF!</definedName>
    <definedName name="ACCP" localSheetId="31">#REF!</definedName>
    <definedName name="ACCP" localSheetId="32">#REF!</definedName>
    <definedName name="ACCP" localSheetId="33">#REF!</definedName>
    <definedName name="ACCP" localSheetId="34">#REF!</definedName>
    <definedName name="ACCP">#REF!</definedName>
    <definedName name="BYST" localSheetId="8">#REF!</definedName>
    <definedName name="BYST" localSheetId="9">#REF!</definedName>
    <definedName name="BYST" localSheetId="13">#REF!</definedName>
    <definedName name="BYST" localSheetId="10">#REF!</definedName>
    <definedName name="BYST" localSheetId="12">#REF!</definedName>
    <definedName name="BYST" localSheetId="14">#REF!</definedName>
    <definedName name="BYST" localSheetId="15">#REF!</definedName>
    <definedName name="BYST" localSheetId="16">#REF!</definedName>
    <definedName name="BYST" localSheetId="17">#REF!</definedName>
    <definedName name="BYST" localSheetId="18">#REF!</definedName>
    <definedName name="BYST" localSheetId="6">#REF!</definedName>
    <definedName name="BYST" localSheetId="19">#REF!</definedName>
    <definedName name="BYST" localSheetId="20">#REF!</definedName>
    <definedName name="BYST" localSheetId="21">#REF!</definedName>
    <definedName name="BYST" localSheetId="22">#REF!</definedName>
    <definedName name="BYST" localSheetId="23">#REF!</definedName>
    <definedName name="BYST" localSheetId="24">#REF!</definedName>
    <definedName name="BYST" localSheetId="25">#REF!</definedName>
    <definedName name="BYST" localSheetId="26">#REF!</definedName>
    <definedName name="BYST" localSheetId="27">#REF!</definedName>
    <definedName name="BYST" localSheetId="28">#REF!</definedName>
    <definedName name="BYST" localSheetId="7">#REF!</definedName>
    <definedName name="BYST" localSheetId="30">#REF!</definedName>
    <definedName name="BYST" localSheetId="29">#REF!</definedName>
    <definedName name="BYST" localSheetId="31">#REF!</definedName>
    <definedName name="BYST" localSheetId="32">#REF!</definedName>
    <definedName name="BYST" localSheetId="33">#REF!</definedName>
    <definedName name="BYST" localSheetId="34">#REF!</definedName>
    <definedName name="BYST">#REF!</definedName>
    <definedName name="GAIR" localSheetId="8">#REF!</definedName>
    <definedName name="GAIR" localSheetId="9">#REF!</definedName>
    <definedName name="GAIR" localSheetId="13">#REF!</definedName>
    <definedName name="GAIR" localSheetId="10">#REF!</definedName>
    <definedName name="GAIR" localSheetId="12">#REF!</definedName>
    <definedName name="GAIR" localSheetId="14">#REF!</definedName>
    <definedName name="GAIR" localSheetId="15">#REF!</definedName>
    <definedName name="GAIR" localSheetId="16">#REF!</definedName>
    <definedName name="GAIR" localSheetId="17">#REF!</definedName>
    <definedName name="GAIR" localSheetId="18">#REF!</definedName>
    <definedName name="GAIR" localSheetId="6">#REF!</definedName>
    <definedName name="GAIR" localSheetId="19">#REF!</definedName>
    <definedName name="GAIR" localSheetId="20">#REF!</definedName>
    <definedName name="GAIR" localSheetId="21">#REF!</definedName>
    <definedName name="GAIR" localSheetId="22">#REF!</definedName>
    <definedName name="GAIR" localSheetId="23">#REF!</definedName>
    <definedName name="GAIR" localSheetId="24">#REF!</definedName>
    <definedName name="GAIR" localSheetId="25">#REF!</definedName>
    <definedName name="GAIR" localSheetId="26">#REF!</definedName>
    <definedName name="GAIR" localSheetId="27">#REF!</definedName>
    <definedName name="GAIR" localSheetId="28">#REF!</definedName>
    <definedName name="GAIR" localSheetId="7">#REF!</definedName>
    <definedName name="GAIR" localSheetId="30">#REF!</definedName>
    <definedName name="GAIR" localSheetId="29">#REF!</definedName>
    <definedName name="GAIR" localSheetId="31">#REF!</definedName>
    <definedName name="GAIR" localSheetId="32">#REF!</definedName>
    <definedName name="GAIR" localSheetId="33">#REF!</definedName>
    <definedName name="GAIR" localSheetId="34">#REF!</definedName>
    <definedName name="GAIR">#REF!</definedName>
    <definedName name="IDLE" localSheetId="8">#REF!</definedName>
    <definedName name="IDLE" localSheetId="9">#REF!</definedName>
    <definedName name="IDLE" localSheetId="13">#REF!</definedName>
    <definedName name="IDLE" localSheetId="10">#REF!</definedName>
    <definedName name="IDLE" localSheetId="12">#REF!</definedName>
    <definedName name="IDLE" localSheetId="14">#REF!</definedName>
    <definedName name="IDLE" localSheetId="15">#REF!</definedName>
    <definedName name="IDLE" localSheetId="16">#REF!</definedName>
    <definedName name="IDLE" localSheetId="17">#REF!</definedName>
    <definedName name="IDLE" localSheetId="18">#REF!</definedName>
    <definedName name="IDLE" localSheetId="6">#REF!</definedName>
    <definedName name="IDLE" localSheetId="19">#REF!</definedName>
    <definedName name="IDLE" localSheetId="20">#REF!</definedName>
    <definedName name="IDLE" localSheetId="21">#REF!</definedName>
    <definedName name="IDLE" localSheetId="22">#REF!</definedName>
    <definedName name="IDLE" localSheetId="23">#REF!</definedName>
    <definedName name="IDLE" localSheetId="24">#REF!</definedName>
    <definedName name="IDLE" localSheetId="25">#REF!</definedName>
    <definedName name="IDLE" localSheetId="26">#REF!</definedName>
    <definedName name="IDLE" localSheetId="27">#REF!</definedName>
    <definedName name="IDLE" localSheetId="28">#REF!</definedName>
    <definedName name="IDLE" localSheetId="7">#REF!</definedName>
    <definedName name="IDLE" localSheetId="30">#REF!</definedName>
    <definedName name="IDLE" localSheetId="29">#REF!</definedName>
    <definedName name="IDLE" localSheetId="31">#REF!</definedName>
    <definedName name="IDLE" localSheetId="32">#REF!</definedName>
    <definedName name="IDLE" localSheetId="33">#REF!</definedName>
    <definedName name="IDLE" localSheetId="34">#REF!</definedName>
    <definedName name="IDLE">#REF!</definedName>
    <definedName name="Matrix">[1]Sheet2!$B$3:$C$23</definedName>
    <definedName name="P_1" localSheetId="8">#REF!</definedName>
    <definedName name="P_1" localSheetId="9">#REF!</definedName>
    <definedName name="P_1" localSheetId="13">#REF!</definedName>
    <definedName name="P_1" localSheetId="10">#REF!</definedName>
    <definedName name="P_1" localSheetId="12">#REF!</definedName>
    <definedName name="P_1" localSheetId="14">#REF!</definedName>
    <definedName name="P_1" localSheetId="15">#REF!</definedName>
    <definedName name="P_1" localSheetId="16">#REF!</definedName>
    <definedName name="P_1" localSheetId="17">#REF!</definedName>
    <definedName name="P_1" localSheetId="18">#REF!</definedName>
    <definedName name="P_1" localSheetId="6">#REF!</definedName>
    <definedName name="P_1" localSheetId="19">#REF!</definedName>
    <definedName name="P_1" localSheetId="20">#REF!</definedName>
    <definedName name="P_1" localSheetId="21">#REF!</definedName>
    <definedName name="P_1" localSheetId="22">#REF!</definedName>
    <definedName name="P_1" localSheetId="23">#REF!</definedName>
    <definedName name="P_1" localSheetId="24">#REF!</definedName>
    <definedName name="P_1" localSheetId="25">#REF!</definedName>
    <definedName name="P_1" localSheetId="26">#REF!</definedName>
    <definedName name="P_1" localSheetId="27">#REF!</definedName>
    <definedName name="P_1" localSheetId="28">#REF!</definedName>
    <definedName name="P_1" localSheetId="7">#REF!</definedName>
    <definedName name="P_1" localSheetId="30">#REF!</definedName>
    <definedName name="P_1" localSheetId="29">#REF!</definedName>
    <definedName name="P_1" localSheetId="31">#REF!</definedName>
    <definedName name="P_1" localSheetId="32">#REF!</definedName>
    <definedName name="P_1" localSheetId="33">#REF!</definedName>
    <definedName name="P_1" localSheetId="34">#REF!</definedName>
    <definedName name="P_1">#REF!</definedName>
    <definedName name="P_2" localSheetId="8">#REF!</definedName>
    <definedName name="P_2" localSheetId="9">#REF!</definedName>
    <definedName name="P_2" localSheetId="13">#REF!</definedName>
    <definedName name="P_2" localSheetId="10">#REF!</definedName>
    <definedName name="P_2" localSheetId="12">#REF!</definedName>
    <definedName name="P_2" localSheetId="14">#REF!</definedName>
    <definedName name="P_2" localSheetId="15">#REF!</definedName>
    <definedName name="P_2" localSheetId="16">#REF!</definedName>
    <definedName name="P_2" localSheetId="17">#REF!</definedName>
    <definedName name="P_2" localSheetId="18">#REF!</definedName>
    <definedName name="P_2" localSheetId="6">#REF!</definedName>
    <definedName name="P_2" localSheetId="19">#REF!</definedName>
    <definedName name="P_2" localSheetId="20">#REF!</definedName>
    <definedName name="P_2" localSheetId="21">#REF!</definedName>
    <definedName name="P_2" localSheetId="22">#REF!</definedName>
    <definedName name="P_2" localSheetId="23">#REF!</definedName>
    <definedName name="P_2" localSheetId="24">#REF!</definedName>
    <definedName name="P_2" localSheetId="25">#REF!</definedName>
    <definedName name="P_2" localSheetId="26">#REF!</definedName>
    <definedName name="P_2" localSheetId="27">#REF!</definedName>
    <definedName name="P_2" localSheetId="28">#REF!</definedName>
    <definedName name="P_2" localSheetId="7">#REF!</definedName>
    <definedName name="P_2" localSheetId="30">#REF!</definedName>
    <definedName name="P_2" localSheetId="29">#REF!</definedName>
    <definedName name="P_2" localSheetId="31">#REF!</definedName>
    <definedName name="P_2" localSheetId="32">#REF!</definedName>
    <definedName name="P_2" localSheetId="33">#REF!</definedName>
    <definedName name="P_2" localSheetId="34">#REF!</definedName>
    <definedName name="P_2">#REF!</definedName>
    <definedName name="_xlnm.Print_Area" localSheetId="8">'AKIYAMA JP'!$A$1:$AE$57</definedName>
    <definedName name="_xlnm.Print_Area" localSheetId="9">'AKIYAMA SC'!$A$1:$AE$57</definedName>
    <definedName name="_xlnm.Print_Area" localSheetId="13">'ALMET THAI'!$A$1:$AE$57</definedName>
    <definedName name="_xlnm.Print_Area" localSheetId="10">AMINO!$A$1:$AE$57</definedName>
    <definedName name="_xlnm.Print_Area" localSheetId="11">APOLLO!$A$1:$AE$57</definedName>
    <definedName name="_xlnm.Print_Area" localSheetId="12">'ASAI THAI'!$A$1:$AE$57</definedName>
    <definedName name="_xlnm.Print_Area" localSheetId="14">BEDRA!$A$1:$AE$57</definedName>
    <definedName name="_xlnm.Print_Area" localSheetId="15">BGH!$A$1:$AE$57</definedName>
    <definedName name="_xlnm.Print_Area" localSheetId="16">CAMELLIA!$A$1:$AE$57</definedName>
    <definedName name="_xlnm.Print_Area" localSheetId="17">DAIDO!$A$1:$AE$57</definedName>
    <definedName name="_xlnm.Print_Area" localSheetId="18">DONGGUAN!$A$1:$AE$57</definedName>
    <definedName name="_xlnm.Print_Area" localSheetId="6">ETO!$A$1:$AE$57</definedName>
    <definedName name="_xlnm.Print_Area" localSheetId="0">'FM0704-3 Rev.2(P.1)'!$A$1:$AE$57</definedName>
    <definedName name="_xlnm.Print_Area" localSheetId="1">'FM0704-3 Rev.2(P.2)'!$A$1:$G$9</definedName>
    <definedName name="_xlnm.Print_Area" localSheetId="19">JIANGSU!$A$1:$AE$57</definedName>
    <definedName name="_xlnm.Print_Area" localSheetId="20">KOMATSU!$A$1:$AE$57</definedName>
    <definedName name="_xlnm.Print_Area" localSheetId="21">KYOTO!$A$1:$AE$57</definedName>
    <definedName name="_xlnm.Print_Area" localSheetId="22">LMAT!$A$1:$AE$57</definedName>
    <definedName name="_xlnm.Print_Area" localSheetId="23">LOTUS!$A$1:$AE$57</definedName>
    <definedName name="_xlnm.Print_Area" localSheetId="24">MENAM!$A$1:$AE$57</definedName>
    <definedName name="_xlnm.Print_Area" localSheetId="25">'NIPPON STEEL'!$A$1:$AE$57</definedName>
    <definedName name="_xlnm.Print_Area" localSheetId="5">'NISSAN SPRING'!$A$1:$AE$57</definedName>
    <definedName name="_xlnm.Print_Area" localSheetId="36">'No eva YAMAICHI'!$A$1:$AE$57</definedName>
    <definedName name="_xlnm.Print_Area" localSheetId="35">'No eva. NST'!$A$1:$AE$57</definedName>
    <definedName name="_xlnm.Print_Area" localSheetId="26">NSL!$A$1:$AE$57</definedName>
    <definedName name="_xlnm.Print_Area" localSheetId="27">'OKAYA P+M'!$A$1:$AE$57</definedName>
    <definedName name="_xlnm.Print_Area" localSheetId="28">SAKUMA!$A$1:$AE$57</definedName>
    <definedName name="_xlnm.Print_Area" localSheetId="7">SCS!$A$1:$AE$57</definedName>
    <definedName name="_xlnm.Print_Area" localSheetId="30">'SHINSHO COR P+M'!$A$1:$AE$57</definedName>
    <definedName name="_xlnm.Print_Area" localSheetId="29">'SHINSHO THAI'!$A$1:$AE$57</definedName>
    <definedName name="_xlnm.Print_Area" localSheetId="31">STEELTEC!$A$1:$AE$57</definedName>
    <definedName name="_xlnm.Print_Area" localSheetId="3">'Summary Mat'!$A$1:$AG$52</definedName>
    <definedName name="_xlnm.Print_Area" localSheetId="4">'Summary Part'!$A$1:$AG$45</definedName>
    <definedName name="_xlnm.Print_Area" localSheetId="32">TSK!$A$1:$AE$57</definedName>
    <definedName name="_xlnm.Print_Area" localSheetId="33">UGITECH!$A$1:$AE$57</definedName>
    <definedName name="_xlnm.Print_Area" localSheetId="34">VOESTALPINE!$A$1:$AE$57</definedName>
    <definedName name="Print_Area_MI" localSheetId="8">#REF!</definedName>
    <definedName name="Print_Area_MI" localSheetId="9">#REF!</definedName>
    <definedName name="Print_Area_MI" localSheetId="13">#REF!</definedName>
    <definedName name="Print_Area_MI" localSheetId="10">#REF!</definedName>
    <definedName name="Print_Area_MI" localSheetId="12">#REF!</definedName>
    <definedName name="Print_Area_MI" localSheetId="14">#REF!</definedName>
    <definedName name="Print_Area_MI" localSheetId="15">#REF!</definedName>
    <definedName name="Print_Area_MI" localSheetId="16">#REF!</definedName>
    <definedName name="Print_Area_MI" localSheetId="17">#REF!</definedName>
    <definedName name="Print_Area_MI" localSheetId="18">#REF!</definedName>
    <definedName name="Print_Area_MI" localSheetId="6">#REF!</definedName>
    <definedName name="Print_Area_MI" localSheetId="19">#REF!</definedName>
    <definedName name="Print_Area_MI" localSheetId="20">#REF!</definedName>
    <definedName name="Print_Area_MI" localSheetId="21">#REF!</definedName>
    <definedName name="Print_Area_MI" localSheetId="22">#REF!</definedName>
    <definedName name="Print_Area_MI" localSheetId="23">#REF!</definedName>
    <definedName name="Print_Area_MI" localSheetId="24">#REF!</definedName>
    <definedName name="Print_Area_MI" localSheetId="25">#REF!</definedName>
    <definedName name="Print_Area_MI" localSheetId="26">#REF!</definedName>
    <definedName name="Print_Area_MI" localSheetId="27">#REF!</definedName>
    <definedName name="Print_Area_MI" localSheetId="28">#REF!</definedName>
    <definedName name="Print_Area_MI" localSheetId="7">#REF!</definedName>
    <definedName name="Print_Area_MI" localSheetId="30">#REF!</definedName>
    <definedName name="Print_Area_MI" localSheetId="29">#REF!</definedName>
    <definedName name="Print_Area_MI" localSheetId="31">#REF!</definedName>
    <definedName name="Print_Area_MI" localSheetId="32">#REF!</definedName>
    <definedName name="Print_Area_MI" localSheetId="33">#REF!</definedName>
    <definedName name="Print_Area_MI" localSheetId="34">#REF!</definedName>
    <definedName name="Print_Area_MI">#REF!</definedName>
    <definedName name="Subcontact" localSheetId="8">#REF!</definedName>
    <definedName name="Subcontact" localSheetId="9">#REF!</definedName>
    <definedName name="Subcontact" localSheetId="13">#REF!</definedName>
    <definedName name="Subcontact" localSheetId="10">#REF!</definedName>
    <definedName name="Subcontact" localSheetId="11">#REF!</definedName>
    <definedName name="Subcontact" localSheetId="12">#REF!</definedName>
    <definedName name="Subcontact" localSheetId="14">#REF!</definedName>
    <definedName name="Subcontact" localSheetId="15">#REF!</definedName>
    <definedName name="Subcontact" localSheetId="16">#REF!</definedName>
    <definedName name="Subcontact" localSheetId="17">#REF!</definedName>
    <definedName name="Subcontact" localSheetId="18">#REF!</definedName>
    <definedName name="Subcontact" localSheetId="6">#REF!</definedName>
    <definedName name="Subcontact" localSheetId="0">#REF!</definedName>
    <definedName name="Subcontact" localSheetId="1">#REF!</definedName>
    <definedName name="Subcontact" localSheetId="19">#REF!</definedName>
    <definedName name="Subcontact" localSheetId="20">#REF!</definedName>
    <definedName name="Subcontact" localSheetId="21">#REF!</definedName>
    <definedName name="Subcontact" localSheetId="22">#REF!</definedName>
    <definedName name="Subcontact" localSheetId="23">#REF!</definedName>
    <definedName name="Subcontact" localSheetId="24">#REF!</definedName>
    <definedName name="Subcontact" localSheetId="25">#REF!</definedName>
    <definedName name="Subcontact" localSheetId="5">#REF!</definedName>
    <definedName name="Subcontact" localSheetId="36">#REF!</definedName>
    <definedName name="Subcontact" localSheetId="35">#REF!</definedName>
    <definedName name="Subcontact" localSheetId="26">#REF!</definedName>
    <definedName name="Subcontact" localSheetId="27">#REF!</definedName>
    <definedName name="Subcontact" localSheetId="28">#REF!</definedName>
    <definedName name="Subcontact" localSheetId="7">#REF!</definedName>
    <definedName name="Subcontact" localSheetId="30">#REF!</definedName>
    <definedName name="Subcontact" localSheetId="29">#REF!</definedName>
    <definedName name="Subcontact" localSheetId="31">#REF!</definedName>
    <definedName name="Subcontact" localSheetId="32">#REF!</definedName>
    <definedName name="Subcontact" localSheetId="33">#REF!</definedName>
    <definedName name="Subcontact" localSheetId="34">#REF!</definedName>
    <definedName name="Subcontact">#REF!</definedName>
    <definedName name="WOT" localSheetId="8">#REF!</definedName>
    <definedName name="WOT" localSheetId="9">#REF!</definedName>
    <definedName name="WOT" localSheetId="13">#REF!</definedName>
    <definedName name="WOT" localSheetId="10">#REF!</definedName>
    <definedName name="WOT" localSheetId="12">#REF!</definedName>
    <definedName name="WOT" localSheetId="14">#REF!</definedName>
    <definedName name="WOT" localSheetId="15">#REF!</definedName>
    <definedName name="WOT" localSheetId="16">#REF!</definedName>
    <definedName name="WOT" localSheetId="17">#REF!</definedName>
    <definedName name="WOT" localSheetId="18">#REF!</definedName>
    <definedName name="WOT" localSheetId="6">#REF!</definedName>
    <definedName name="WOT" localSheetId="19">#REF!</definedName>
    <definedName name="WOT" localSheetId="20">#REF!</definedName>
    <definedName name="WOT" localSheetId="21">#REF!</definedName>
    <definedName name="WOT" localSheetId="22">#REF!</definedName>
    <definedName name="WOT" localSheetId="23">#REF!</definedName>
    <definedName name="WOT" localSheetId="24">#REF!</definedName>
    <definedName name="WOT" localSheetId="25">#REF!</definedName>
    <definedName name="WOT" localSheetId="26">#REF!</definedName>
    <definedName name="WOT" localSheetId="27">#REF!</definedName>
    <definedName name="WOT" localSheetId="28">#REF!</definedName>
    <definedName name="WOT" localSheetId="7">#REF!</definedName>
    <definedName name="WOT" localSheetId="30">#REF!</definedName>
    <definedName name="WOT" localSheetId="29">#REF!</definedName>
    <definedName name="WOT" localSheetId="31">#REF!</definedName>
    <definedName name="WOT" localSheetId="32">#REF!</definedName>
    <definedName name="WOT" localSheetId="33">#REF!</definedName>
    <definedName name="WOT" localSheetId="34">#REF!</definedName>
    <definedName name="WO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39" l="1"/>
  <c r="AD18" i="39"/>
  <c r="AD19" i="39"/>
  <c r="AD20" i="39"/>
  <c r="AD21" i="39"/>
  <c r="AD22" i="39"/>
  <c r="AD23" i="39"/>
  <c r="AD24" i="39"/>
  <c r="AD25" i="39"/>
  <c r="AD26" i="39"/>
  <c r="AD27" i="39"/>
  <c r="AD28" i="39"/>
  <c r="AD29" i="39"/>
  <c r="AD30" i="39"/>
  <c r="AD31" i="39"/>
  <c r="AD32" i="39"/>
  <c r="AD33" i="39"/>
  <c r="AD34" i="39"/>
  <c r="AD35" i="39"/>
  <c r="AD36" i="39"/>
  <c r="AD37" i="39"/>
  <c r="AD38" i="39"/>
  <c r="AD39" i="39"/>
  <c r="AD40" i="39"/>
  <c r="AD41" i="39"/>
  <c r="AD42" i="39"/>
  <c r="AD16" i="39"/>
  <c r="AF17" i="39"/>
  <c r="AF18" i="39"/>
  <c r="AF26" i="39"/>
  <c r="AF27" i="39"/>
  <c r="AF19" i="39"/>
  <c r="AF20" i="39"/>
  <c r="AF29" i="39"/>
  <c r="AF30" i="39"/>
  <c r="AF25" i="39"/>
  <c r="AF28" i="39"/>
  <c r="AF31" i="39"/>
  <c r="AF21" i="39"/>
  <c r="AF32" i="39"/>
  <c r="AF33" i="39"/>
  <c r="AF34" i="39"/>
  <c r="AF35" i="39"/>
  <c r="AF24" i="39"/>
  <c r="AF39" i="39"/>
  <c r="AF22" i="39"/>
  <c r="AF23" i="39"/>
  <c r="AF41" i="39"/>
  <c r="AF40" i="39"/>
  <c r="AF36" i="39"/>
  <c r="AF37" i="39"/>
  <c r="AF38" i="39"/>
  <c r="AF42" i="39"/>
  <c r="AF16" i="39"/>
  <c r="AF17" i="40"/>
  <c r="AF18" i="40"/>
  <c r="AF16" i="40"/>
  <c r="AB16" i="40"/>
  <c r="AD17" i="40"/>
  <c r="AD18" i="40"/>
  <c r="AD16" i="40"/>
  <c r="AB16" i="39"/>
  <c r="AG18" i="40"/>
  <c r="AG17" i="40"/>
  <c r="AB17" i="40"/>
  <c r="AB17" i="39"/>
  <c r="AE34" i="73"/>
  <c r="AE35" i="73" s="1"/>
  <c r="AD34" i="73"/>
  <c r="AD35" i="73" s="1"/>
  <c r="AC34" i="73"/>
  <c r="AC35" i="73" s="1"/>
  <c r="AB34" i="73"/>
  <c r="AB35" i="73" s="1"/>
  <c r="AA34" i="73"/>
  <c r="AA35" i="73" s="1"/>
  <c r="Z34" i="73"/>
  <c r="Y34" i="73"/>
  <c r="X34" i="73"/>
  <c r="W34" i="73"/>
  <c r="V34" i="73"/>
  <c r="U34" i="73"/>
  <c r="T34" i="73"/>
  <c r="O34" i="73"/>
  <c r="O33" i="73"/>
  <c r="O32" i="73"/>
  <c r="O30" i="73"/>
  <c r="O29" i="73"/>
  <c r="O28" i="73"/>
  <c r="O27" i="73"/>
  <c r="O26" i="73"/>
  <c r="O25" i="73"/>
  <c r="O24" i="73"/>
  <c r="O22" i="73"/>
  <c r="O21" i="73"/>
  <c r="O20" i="73"/>
  <c r="P20" i="73" s="1"/>
  <c r="O18" i="73"/>
  <c r="O17" i="73"/>
  <c r="O16" i="73"/>
  <c r="O15" i="73"/>
  <c r="O14" i="73"/>
  <c r="O13" i="73"/>
  <c r="O12" i="73"/>
  <c r="O11" i="73"/>
  <c r="O10" i="73"/>
  <c r="P10" i="73" s="1"/>
  <c r="AE34" i="72"/>
  <c r="AE35" i="72" s="1"/>
  <c r="AD34" i="72"/>
  <c r="AD35" i="72" s="1"/>
  <c r="AC34" i="72"/>
  <c r="AC35" i="72" s="1"/>
  <c r="AB34" i="72"/>
  <c r="AB35" i="72" s="1"/>
  <c r="AA34" i="72"/>
  <c r="AA35" i="72" s="1"/>
  <c r="Z34" i="72"/>
  <c r="Y34" i="72"/>
  <c r="X34" i="72"/>
  <c r="W34" i="72"/>
  <c r="V34" i="72"/>
  <c r="U34" i="72"/>
  <c r="T34" i="72"/>
  <c r="T35" i="72" s="1"/>
  <c r="O34" i="72"/>
  <c r="O33" i="72"/>
  <c r="O32" i="72"/>
  <c r="O30" i="72"/>
  <c r="O29" i="72"/>
  <c r="O28" i="72"/>
  <c r="O27" i="72"/>
  <c r="O26" i="72"/>
  <c r="O25" i="72"/>
  <c r="O24" i="72"/>
  <c r="O22" i="72"/>
  <c r="O21" i="72"/>
  <c r="O20" i="72"/>
  <c r="P20" i="72" s="1"/>
  <c r="O18" i="72"/>
  <c r="O17" i="72"/>
  <c r="O16" i="72"/>
  <c r="O15" i="72"/>
  <c r="O14" i="72"/>
  <c r="O13" i="72"/>
  <c r="O12" i="72"/>
  <c r="O11" i="72"/>
  <c r="O10" i="72"/>
  <c r="P10" i="72" s="1"/>
  <c r="AE34" i="71"/>
  <c r="AE35" i="71" s="1"/>
  <c r="AD34" i="71"/>
  <c r="AD35" i="71" s="1"/>
  <c r="AC34" i="71"/>
  <c r="AC35" i="71" s="1"/>
  <c r="AB34" i="71"/>
  <c r="AB35" i="71" s="1"/>
  <c r="AA34" i="71"/>
  <c r="AA35" i="71" s="1"/>
  <c r="Z34" i="71"/>
  <c r="Y34" i="71"/>
  <c r="X34" i="71"/>
  <c r="W34" i="71"/>
  <c r="V34" i="71"/>
  <c r="U34" i="71"/>
  <c r="T34" i="71"/>
  <c r="O34" i="71"/>
  <c r="O33" i="71"/>
  <c r="O32" i="71"/>
  <c r="O30" i="71"/>
  <c r="O29" i="71"/>
  <c r="O28" i="71"/>
  <c r="O27" i="71"/>
  <c r="O26" i="71"/>
  <c r="O25" i="71"/>
  <c r="O24" i="71"/>
  <c r="O22" i="71"/>
  <c r="O21" i="71"/>
  <c r="O20" i="71"/>
  <c r="P20" i="71" s="1"/>
  <c r="O18" i="71"/>
  <c r="O17" i="71"/>
  <c r="O16" i="71"/>
  <c r="O15" i="71"/>
  <c r="O14" i="71"/>
  <c r="O13" i="71"/>
  <c r="O12" i="71"/>
  <c r="O11" i="71"/>
  <c r="O10" i="71"/>
  <c r="AE34" i="70"/>
  <c r="AE35" i="70" s="1"/>
  <c r="AD34" i="70"/>
  <c r="AD35" i="70" s="1"/>
  <c r="AC34" i="70"/>
  <c r="AC35" i="70" s="1"/>
  <c r="AB34" i="70"/>
  <c r="AB35" i="70" s="1"/>
  <c r="AA34" i="70"/>
  <c r="AA35" i="70" s="1"/>
  <c r="Z34" i="70"/>
  <c r="Y34" i="70"/>
  <c r="X34" i="70"/>
  <c r="W34" i="70"/>
  <c r="V34" i="70"/>
  <c r="U34" i="70"/>
  <c r="T34" i="70"/>
  <c r="T35" i="70" s="1"/>
  <c r="O34" i="70"/>
  <c r="O33" i="70"/>
  <c r="O32" i="70"/>
  <c r="O30" i="70"/>
  <c r="O29" i="70"/>
  <c r="O28" i="70"/>
  <c r="O27" i="70"/>
  <c r="O26" i="70"/>
  <c r="O25" i="70"/>
  <c r="O24" i="70"/>
  <c r="O22" i="70"/>
  <c r="O21" i="70"/>
  <c r="O20" i="70"/>
  <c r="P20" i="70" s="1"/>
  <c r="O18" i="70"/>
  <c r="O17" i="70"/>
  <c r="O16" i="70"/>
  <c r="O15" i="70"/>
  <c r="O14" i="70"/>
  <c r="O13" i="70"/>
  <c r="O12" i="70"/>
  <c r="O11" i="70"/>
  <c r="O10" i="70"/>
  <c r="AE34" i="69"/>
  <c r="AE35" i="69" s="1"/>
  <c r="AD34" i="69"/>
  <c r="AD35" i="69" s="1"/>
  <c r="AC34" i="69"/>
  <c r="AC35" i="69" s="1"/>
  <c r="AB34" i="69"/>
  <c r="AB35" i="69" s="1"/>
  <c r="AA34" i="69"/>
  <c r="AA35" i="69" s="1"/>
  <c r="Z34" i="69"/>
  <c r="Y34" i="69"/>
  <c r="X34" i="69"/>
  <c r="W34" i="69"/>
  <c r="V34" i="69"/>
  <c r="U34" i="69"/>
  <c r="T34" i="69"/>
  <c r="T35" i="69" s="1"/>
  <c r="O34" i="69"/>
  <c r="O33" i="69"/>
  <c r="O32" i="69"/>
  <c r="P32" i="69" s="1"/>
  <c r="I24" i="69" s="1"/>
  <c r="O30" i="69"/>
  <c r="O29" i="69"/>
  <c r="O28" i="69"/>
  <c r="O27" i="69"/>
  <c r="O26" i="69"/>
  <c r="O25" i="69"/>
  <c r="O24" i="69"/>
  <c r="O22" i="69"/>
  <c r="O21" i="69"/>
  <c r="O20" i="69"/>
  <c r="P20" i="69" s="1"/>
  <c r="O18" i="69"/>
  <c r="O17" i="69"/>
  <c r="O16" i="69"/>
  <c r="O15" i="69"/>
  <c r="O14" i="69"/>
  <c r="O13" i="69"/>
  <c r="O12" i="69"/>
  <c r="O11" i="69"/>
  <c r="O10" i="69"/>
  <c r="P10" i="69" s="1"/>
  <c r="AE34" i="68"/>
  <c r="AE35" i="68" s="1"/>
  <c r="AD34" i="68"/>
  <c r="AD35" i="68" s="1"/>
  <c r="AC34" i="68"/>
  <c r="AC35" i="68" s="1"/>
  <c r="AB34" i="68"/>
  <c r="AB35" i="68" s="1"/>
  <c r="AA34" i="68"/>
  <c r="AA35" i="68" s="1"/>
  <c r="Z34" i="68"/>
  <c r="Y34" i="68"/>
  <c r="X34" i="68"/>
  <c r="W34" i="68"/>
  <c r="V34" i="68"/>
  <c r="U34" i="68"/>
  <c r="T34" i="68"/>
  <c r="O34" i="68"/>
  <c r="O33" i="68"/>
  <c r="O32" i="68"/>
  <c r="O30" i="68"/>
  <c r="O29" i="68"/>
  <c r="O28" i="68"/>
  <c r="O27" i="68"/>
  <c r="O26" i="68"/>
  <c r="O25" i="68"/>
  <c r="O24" i="68"/>
  <c r="O22" i="68"/>
  <c r="O21" i="68"/>
  <c r="O20" i="68"/>
  <c r="P20" i="68" s="1"/>
  <c r="O18" i="68"/>
  <c r="O17" i="68"/>
  <c r="O16" i="68"/>
  <c r="O15" i="68"/>
  <c r="O14" i="68"/>
  <c r="O13" i="68"/>
  <c r="O12" i="68"/>
  <c r="O11" i="68"/>
  <c r="O10" i="68"/>
  <c r="P10" i="68" s="1"/>
  <c r="AE34" i="67"/>
  <c r="AE35" i="67" s="1"/>
  <c r="AD34" i="67"/>
  <c r="AD35" i="67" s="1"/>
  <c r="AC34" i="67"/>
  <c r="AC35" i="67" s="1"/>
  <c r="AB34" i="67"/>
  <c r="AB35" i="67" s="1"/>
  <c r="AA34" i="67"/>
  <c r="AA35" i="67" s="1"/>
  <c r="Z34" i="67"/>
  <c r="Y34" i="67"/>
  <c r="X34" i="67"/>
  <c r="W34" i="67"/>
  <c r="V34" i="67"/>
  <c r="U34" i="67"/>
  <c r="T34" i="67"/>
  <c r="T35" i="67" s="1"/>
  <c r="O34" i="67"/>
  <c r="O33" i="67"/>
  <c r="O32" i="67"/>
  <c r="P32" i="67" s="1"/>
  <c r="I24" i="67" s="1"/>
  <c r="O30" i="67"/>
  <c r="O29" i="67"/>
  <c r="O28" i="67"/>
  <c r="O27" i="67"/>
  <c r="O26" i="67"/>
  <c r="O25" i="67"/>
  <c r="O24" i="67"/>
  <c r="O22" i="67"/>
  <c r="O21" i="67"/>
  <c r="O20" i="67"/>
  <c r="P20" i="67" s="1"/>
  <c r="O18" i="67"/>
  <c r="O17" i="67"/>
  <c r="O16" i="67"/>
  <c r="O15" i="67"/>
  <c r="O14" i="67"/>
  <c r="O13" i="67"/>
  <c r="O12" i="67"/>
  <c r="O11" i="67"/>
  <c r="O10" i="67"/>
  <c r="P10" i="67" s="1"/>
  <c r="AE34" i="66"/>
  <c r="AE35" i="66" s="1"/>
  <c r="AD34" i="66"/>
  <c r="AD35" i="66" s="1"/>
  <c r="AC34" i="66"/>
  <c r="AC35" i="66" s="1"/>
  <c r="AB34" i="66"/>
  <c r="AB35" i="66" s="1"/>
  <c r="AA34" i="66"/>
  <c r="AA35" i="66" s="1"/>
  <c r="Z34" i="66"/>
  <c r="Y34" i="66"/>
  <c r="X34" i="66"/>
  <c r="W34" i="66"/>
  <c r="V34" i="66"/>
  <c r="U34" i="66"/>
  <c r="T34" i="66"/>
  <c r="O34" i="66"/>
  <c r="O33" i="66"/>
  <c r="O32" i="66"/>
  <c r="P32" i="66" s="1"/>
  <c r="I24" i="66" s="1"/>
  <c r="O30" i="66"/>
  <c r="O29" i="66"/>
  <c r="O28" i="66"/>
  <c r="O27" i="66"/>
  <c r="O26" i="66"/>
  <c r="O25" i="66"/>
  <c r="O24" i="66"/>
  <c r="O22" i="66"/>
  <c r="O21" i="66"/>
  <c r="O20" i="66"/>
  <c r="O18" i="66"/>
  <c r="O17" i="66"/>
  <c r="O16" i="66"/>
  <c r="O15" i="66"/>
  <c r="O14" i="66"/>
  <c r="O13" i="66"/>
  <c r="O12" i="66"/>
  <c r="O11" i="66"/>
  <c r="O10" i="66"/>
  <c r="P10" i="66" s="1"/>
  <c r="AE34" i="65"/>
  <c r="AE35" i="65" s="1"/>
  <c r="AD34" i="65"/>
  <c r="AD35" i="65" s="1"/>
  <c r="AC34" i="65"/>
  <c r="AC35" i="65" s="1"/>
  <c r="AB34" i="65"/>
  <c r="AB35" i="65" s="1"/>
  <c r="AA34" i="65"/>
  <c r="AA35" i="65" s="1"/>
  <c r="Z34" i="65"/>
  <c r="Y34" i="65"/>
  <c r="X34" i="65"/>
  <c r="W34" i="65"/>
  <c r="V34" i="65"/>
  <c r="U34" i="65"/>
  <c r="T34" i="65"/>
  <c r="O34" i="65"/>
  <c r="O33" i="65"/>
  <c r="O32" i="65"/>
  <c r="O30" i="65"/>
  <c r="O29" i="65"/>
  <c r="O28" i="65"/>
  <c r="O27" i="65"/>
  <c r="O26" i="65"/>
  <c r="O25" i="65"/>
  <c r="O24" i="65"/>
  <c r="O22" i="65"/>
  <c r="O21" i="65"/>
  <c r="O20" i="65"/>
  <c r="P20" i="65" s="1"/>
  <c r="O18" i="65"/>
  <c r="O17" i="65"/>
  <c r="O16" i="65"/>
  <c r="O15" i="65"/>
  <c r="O14" i="65"/>
  <c r="O13" i="65"/>
  <c r="O12" i="65"/>
  <c r="O11" i="65"/>
  <c r="O10" i="65"/>
  <c r="AE34" i="64"/>
  <c r="AE35" i="64" s="1"/>
  <c r="AD34" i="64"/>
  <c r="AD35" i="64" s="1"/>
  <c r="AC34" i="64"/>
  <c r="AC35" i="64" s="1"/>
  <c r="AB34" i="64"/>
  <c r="AB35" i="64" s="1"/>
  <c r="AA34" i="64"/>
  <c r="AA35" i="64" s="1"/>
  <c r="Z34" i="64"/>
  <c r="Y34" i="64"/>
  <c r="X34" i="64"/>
  <c r="W34" i="64"/>
  <c r="V34" i="64"/>
  <c r="U34" i="64"/>
  <c r="T34" i="64"/>
  <c r="T35" i="64" s="1"/>
  <c r="O34" i="64"/>
  <c r="O33" i="64"/>
  <c r="O32" i="64"/>
  <c r="P32" i="64" s="1"/>
  <c r="I24" i="64" s="1"/>
  <c r="O30" i="64"/>
  <c r="O29" i="64"/>
  <c r="O28" i="64"/>
  <c r="O27" i="64"/>
  <c r="O26" i="64"/>
  <c r="O25" i="64"/>
  <c r="O24" i="64"/>
  <c r="O22" i="64"/>
  <c r="O21" i="64"/>
  <c r="O20" i="64"/>
  <c r="P20" i="64" s="1"/>
  <c r="O18" i="64"/>
  <c r="O17" i="64"/>
  <c r="O16" i="64"/>
  <c r="O15" i="64"/>
  <c r="O14" i="64"/>
  <c r="O13" i="64"/>
  <c r="O12" i="64"/>
  <c r="O11" i="64"/>
  <c r="O10" i="64"/>
  <c r="P10" i="64" s="1"/>
  <c r="AE34" i="63"/>
  <c r="AE35" i="63" s="1"/>
  <c r="AD34" i="63"/>
  <c r="AD35" i="63" s="1"/>
  <c r="AC34" i="63"/>
  <c r="AC35" i="63" s="1"/>
  <c r="AB34" i="63"/>
  <c r="AB35" i="63" s="1"/>
  <c r="AA34" i="63"/>
  <c r="AA35" i="63" s="1"/>
  <c r="Z34" i="63"/>
  <c r="Y34" i="63"/>
  <c r="X34" i="63"/>
  <c r="W34" i="63"/>
  <c r="V34" i="63"/>
  <c r="U34" i="63"/>
  <c r="T34" i="63"/>
  <c r="O34" i="63"/>
  <c r="O33" i="63"/>
  <c r="O32" i="63"/>
  <c r="P32" i="63" s="1"/>
  <c r="I24" i="63" s="1"/>
  <c r="O30" i="63"/>
  <c r="O29" i="63"/>
  <c r="O28" i="63"/>
  <c r="O27" i="63"/>
  <c r="O26" i="63"/>
  <c r="O25" i="63"/>
  <c r="O24" i="63"/>
  <c r="O22" i="63"/>
  <c r="O21" i="63"/>
  <c r="O20" i="63"/>
  <c r="P20" i="63" s="1"/>
  <c r="O18" i="63"/>
  <c r="O17" i="63"/>
  <c r="O16" i="63"/>
  <c r="O15" i="63"/>
  <c r="O14" i="63"/>
  <c r="O13" i="63"/>
  <c r="O12" i="63"/>
  <c r="O11" i="63"/>
  <c r="O10" i="63"/>
  <c r="P10" i="63" s="1"/>
  <c r="AE34" i="62"/>
  <c r="AE35" i="62" s="1"/>
  <c r="AD34" i="62"/>
  <c r="AD35" i="62" s="1"/>
  <c r="AC34" i="62"/>
  <c r="AC35" i="62" s="1"/>
  <c r="AB34" i="62"/>
  <c r="AB35" i="62" s="1"/>
  <c r="AA34" i="62"/>
  <c r="AA35" i="62" s="1"/>
  <c r="Z34" i="62"/>
  <c r="Y34" i="62"/>
  <c r="X34" i="62"/>
  <c r="W34" i="62"/>
  <c r="V34" i="62"/>
  <c r="U34" i="62"/>
  <c r="T34" i="62"/>
  <c r="T35" i="62" s="1"/>
  <c r="O34" i="62"/>
  <c r="O33" i="62"/>
  <c r="O32" i="62"/>
  <c r="P32" i="62" s="1"/>
  <c r="I24" i="62" s="1"/>
  <c r="O30" i="62"/>
  <c r="O29" i="62"/>
  <c r="O28" i="62"/>
  <c r="O27" i="62"/>
  <c r="O26" i="62"/>
  <c r="O25" i="62"/>
  <c r="O24" i="62"/>
  <c r="O22" i="62"/>
  <c r="O21" i="62"/>
  <c r="O20" i="62"/>
  <c r="P20" i="62" s="1"/>
  <c r="O18" i="62"/>
  <c r="O17" i="62"/>
  <c r="O16" i="62"/>
  <c r="O15" i="62"/>
  <c r="O14" i="62"/>
  <c r="O13" i="62"/>
  <c r="O12" i="62"/>
  <c r="O11" i="62"/>
  <c r="O10" i="62"/>
  <c r="P10" i="62" s="1"/>
  <c r="AE34" i="61"/>
  <c r="AE35" i="61" s="1"/>
  <c r="AD34" i="61"/>
  <c r="AD35" i="61" s="1"/>
  <c r="AC34" i="61"/>
  <c r="AC35" i="61" s="1"/>
  <c r="AB34" i="61"/>
  <c r="AB35" i="61" s="1"/>
  <c r="AA34" i="61"/>
  <c r="AA35" i="61" s="1"/>
  <c r="Z34" i="61"/>
  <c r="Y34" i="61"/>
  <c r="X34" i="61"/>
  <c r="W34" i="61"/>
  <c r="V34" i="61"/>
  <c r="U34" i="61"/>
  <c r="T34" i="61"/>
  <c r="T35" i="61" s="1"/>
  <c r="O34" i="61"/>
  <c r="O33" i="61"/>
  <c r="O32" i="61"/>
  <c r="O30" i="61"/>
  <c r="O29" i="61"/>
  <c r="O28" i="61"/>
  <c r="O27" i="61"/>
  <c r="O26" i="61"/>
  <c r="O25" i="61"/>
  <c r="O24" i="61"/>
  <c r="O22" i="61"/>
  <c r="O21" i="61"/>
  <c r="O20" i="61"/>
  <c r="P20" i="61" s="1"/>
  <c r="O18" i="61"/>
  <c r="O17" i="61"/>
  <c r="O16" i="61"/>
  <c r="O15" i="61"/>
  <c r="O14" i="61"/>
  <c r="O13" i="61"/>
  <c r="O12" i="61"/>
  <c r="O11" i="61"/>
  <c r="O10" i="61"/>
  <c r="P10" i="61" s="1"/>
  <c r="AE34" i="60"/>
  <c r="AE35" i="60" s="1"/>
  <c r="AD34" i="60"/>
  <c r="AD35" i="60" s="1"/>
  <c r="AC34" i="60"/>
  <c r="AC35" i="60" s="1"/>
  <c r="AB34" i="60"/>
  <c r="AB35" i="60" s="1"/>
  <c r="AA34" i="60"/>
  <c r="AA35" i="60" s="1"/>
  <c r="Z34" i="60"/>
  <c r="Y34" i="60"/>
  <c r="X34" i="60"/>
  <c r="W34" i="60"/>
  <c r="V34" i="60"/>
  <c r="U34" i="60"/>
  <c r="T34" i="60"/>
  <c r="T35" i="60" s="1"/>
  <c r="O34" i="60"/>
  <c r="O33" i="60"/>
  <c r="O32" i="60"/>
  <c r="P32" i="60" s="1"/>
  <c r="I24" i="60" s="1"/>
  <c r="O30" i="60"/>
  <c r="O29" i="60"/>
  <c r="O28" i="60"/>
  <c r="O27" i="60"/>
  <c r="O26" i="60"/>
  <c r="O25" i="60"/>
  <c r="O24" i="60"/>
  <c r="O22" i="60"/>
  <c r="O21" i="60"/>
  <c r="O20" i="60"/>
  <c r="P20" i="60" s="1"/>
  <c r="O18" i="60"/>
  <c r="O17" i="60"/>
  <c r="O16" i="60"/>
  <c r="O15" i="60"/>
  <c r="O14" i="60"/>
  <c r="O13" i="60"/>
  <c r="O12" i="60"/>
  <c r="O11" i="60"/>
  <c r="O10" i="60"/>
  <c r="P10" i="60" s="1"/>
  <c r="AE34" i="59"/>
  <c r="AE35" i="59" s="1"/>
  <c r="AD34" i="59"/>
  <c r="AD35" i="59" s="1"/>
  <c r="AC34" i="59"/>
  <c r="AC35" i="59" s="1"/>
  <c r="AB34" i="59"/>
  <c r="AB35" i="59" s="1"/>
  <c r="AA34" i="59"/>
  <c r="AA35" i="59" s="1"/>
  <c r="Z34" i="59"/>
  <c r="Y34" i="59"/>
  <c r="X34" i="59"/>
  <c r="W34" i="59"/>
  <c r="V34" i="59"/>
  <c r="U34" i="59"/>
  <c r="T34" i="59"/>
  <c r="T35" i="59" s="1"/>
  <c r="O34" i="59"/>
  <c r="O33" i="59"/>
  <c r="O32" i="59"/>
  <c r="O30" i="59"/>
  <c r="O29" i="59"/>
  <c r="O28" i="59"/>
  <c r="O27" i="59"/>
  <c r="O26" i="59"/>
  <c r="O25" i="59"/>
  <c r="O24" i="59"/>
  <c r="O22" i="59"/>
  <c r="O21" i="59"/>
  <c r="O20" i="59"/>
  <c r="P20" i="59" s="1"/>
  <c r="O18" i="59"/>
  <c r="O17" i="59"/>
  <c r="O16" i="59"/>
  <c r="O15" i="59"/>
  <c r="O14" i="59"/>
  <c r="O13" i="59"/>
  <c r="O12" i="59"/>
  <c r="O11" i="59"/>
  <c r="O10" i="59"/>
  <c r="P10" i="59" s="1"/>
  <c r="AE34" i="58"/>
  <c r="AE35" i="58" s="1"/>
  <c r="AD34" i="58"/>
  <c r="AD35" i="58" s="1"/>
  <c r="AC34" i="58"/>
  <c r="AC35" i="58" s="1"/>
  <c r="AB34" i="58"/>
  <c r="AB35" i="58" s="1"/>
  <c r="AA34" i="58"/>
  <c r="AA35" i="58" s="1"/>
  <c r="Z34" i="58"/>
  <c r="Y34" i="58"/>
  <c r="X34" i="58"/>
  <c r="W34" i="58"/>
  <c r="V34" i="58"/>
  <c r="U34" i="58"/>
  <c r="T34" i="58"/>
  <c r="O34" i="58"/>
  <c r="O33" i="58"/>
  <c r="O32" i="58"/>
  <c r="O30" i="58"/>
  <c r="O29" i="58"/>
  <c r="O28" i="58"/>
  <c r="O27" i="58"/>
  <c r="O26" i="58"/>
  <c r="O25" i="58"/>
  <c r="O24" i="58"/>
  <c r="O22" i="58"/>
  <c r="O21" i="58"/>
  <c r="O20" i="58"/>
  <c r="P20" i="58" s="1"/>
  <c r="O18" i="58"/>
  <c r="O17" i="58"/>
  <c r="O16" i="58"/>
  <c r="O15" i="58"/>
  <c r="O14" i="58"/>
  <c r="O13" i="58"/>
  <c r="O12" i="58"/>
  <c r="O11" i="58"/>
  <c r="O10" i="58"/>
  <c r="P10" i="58" s="1"/>
  <c r="AE34" i="57"/>
  <c r="AE35" i="57" s="1"/>
  <c r="AD34" i="57"/>
  <c r="AD35" i="57" s="1"/>
  <c r="AC34" i="57"/>
  <c r="AC35" i="57" s="1"/>
  <c r="AB34" i="57"/>
  <c r="AB35" i="57" s="1"/>
  <c r="AA34" i="57"/>
  <c r="AA35" i="57" s="1"/>
  <c r="Z34" i="57"/>
  <c r="Y34" i="57"/>
  <c r="X34" i="57"/>
  <c r="W34" i="57"/>
  <c r="V34" i="57"/>
  <c r="U34" i="57"/>
  <c r="T34" i="57"/>
  <c r="T35" i="57" s="1"/>
  <c r="O34" i="57"/>
  <c r="O33" i="57"/>
  <c r="O32" i="57"/>
  <c r="P32" i="57" s="1"/>
  <c r="I24" i="57" s="1"/>
  <c r="O30" i="57"/>
  <c r="O29" i="57"/>
  <c r="O28" i="57"/>
  <c r="O27" i="57"/>
  <c r="O26" i="57"/>
  <c r="O25" i="57"/>
  <c r="O24" i="57"/>
  <c r="O22" i="57"/>
  <c r="O21" i="57"/>
  <c r="O20" i="57"/>
  <c r="P20" i="57" s="1"/>
  <c r="O18" i="57"/>
  <c r="O17" i="57"/>
  <c r="O16" i="57"/>
  <c r="O15" i="57"/>
  <c r="O14" i="57"/>
  <c r="O13" i="57"/>
  <c r="O12" i="57"/>
  <c r="O11" i="57"/>
  <c r="O10" i="57"/>
  <c r="P10" i="57" s="1"/>
  <c r="AE34" i="56"/>
  <c r="AE35" i="56" s="1"/>
  <c r="AD34" i="56"/>
  <c r="AD35" i="56" s="1"/>
  <c r="AC34" i="56"/>
  <c r="AC35" i="56" s="1"/>
  <c r="AB34" i="56"/>
  <c r="AB35" i="56" s="1"/>
  <c r="AA34" i="56"/>
  <c r="AA35" i="56" s="1"/>
  <c r="Z34" i="56"/>
  <c r="Y34" i="56"/>
  <c r="X34" i="56"/>
  <c r="W34" i="56"/>
  <c r="V34" i="56"/>
  <c r="U34" i="56"/>
  <c r="T34" i="56"/>
  <c r="T35" i="56" s="1"/>
  <c r="O34" i="56"/>
  <c r="O33" i="56"/>
  <c r="O32" i="56"/>
  <c r="P32" i="56" s="1"/>
  <c r="I24" i="56" s="1"/>
  <c r="O30" i="56"/>
  <c r="O29" i="56"/>
  <c r="O28" i="56"/>
  <c r="O27" i="56"/>
  <c r="O26" i="56"/>
  <c r="O25" i="56"/>
  <c r="O24" i="56"/>
  <c r="O22" i="56"/>
  <c r="O21" i="56"/>
  <c r="O20" i="56"/>
  <c r="P20" i="56" s="1"/>
  <c r="O18" i="56"/>
  <c r="O17" i="56"/>
  <c r="O16" i="56"/>
  <c r="O15" i="56"/>
  <c r="O14" i="56"/>
  <c r="O13" i="56"/>
  <c r="O12" i="56"/>
  <c r="O11" i="56"/>
  <c r="O10" i="56"/>
  <c r="P10" i="56" s="1"/>
  <c r="Z35" i="73" l="1"/>
  <c r="T4" i="73"/>
  <c r="W4" i="73" s="1"/>
  <c r="Z35" i="72"/>
  <c r="T4" i="72"/>
  <c r="W4" i="72" s="1"/>
  <c r="Z35" i="71"/>
  <c r="T4" i="71"/>
  <c r="W4" i="71" s="1"/>
  <c r="Z35" i="69"/>
  <c r="T4" i="69"/>
  <c r="W4" i="69" s="1"/>
  <c r="Z35" i="70"/>
  <c r="T4" i="70"/>
  <c r="W4" i="70" s="1"/>
  <c r="P32" i="70"/>
  <c r="I24" i="70" s="1"/>
  <c r="P24" i="70" s="1"/>
  <c r="Z35" i="68"/>
  <c r="T4" i="68"/>
  <c r="W4" i="68" s="1"/>
  <c r="Z35" i="67"/>
  <c r="T4" i="67"/>
  <c r="W4" i="67" s="1"/>
  <c r="Z35" i="66"/>
  <c r="T4" i="66"/>
  <c r="W4" i="66" s="1"/>
  <c r="Z35" i="65"/>
  <c r="T4" i="65"/>
  <c r="W4" i="65" s="1"/>
  <c r="Z35" i="64"/>
  <c r="T4" i="64"/>
  <c r="W4" i="64" s="1"/>
  <c r="Z35" i="63"/>
  <c r="T4" i="63"/>
  <c r="W4" i="63" s="1"/>
  <c r="Z35" i="62"/>
  <c r="T4" i="62"/>
  <c r="W4" i="62" s="1"/>
  <c r="Z35" i="61"/>
  <c r="T4" i="61"/>
  <c r="W4" i="61" s="1"/>
  <c r="Z35" i="60"/>
  <c r="T4" i="60"/>
  <c r="W4" i="60" s="1"/>
  <c r="Z35" i="59"/>
  <c r="T4" i="59"/>
  <c r="W4" i="59" s="1"/>
  <c r="Z35" i="58"/>
  <c r="T4" i="58"/>
  <c r="W4" i="58" s="1"/>
  <c r="Z35" i="57"/>
  <c r="T4" i="57"/>
  <c r="W4" i="57" s="1"/>
  <c r="Z35" i="56"/>
  <c r="T4" i="56"/>
  <c r="W4" i="56" s="1"/>
  <c r="Y35" i="56"/>
  <c r="Y35" i="57"/>
  <c r="Y35" i="58"/>
  <c r="Y35" i="59"/>
  <c r="Y35" i="60"/>
  <c r="Y35" i="61"/>
  <c r="Y35" i="62"/>
  <c r="Y35" i="63"/>
  <c r="Y35" i="64"/>
  <c r="Y35" i="65"/>
  <c r="Y35" i="66"/>
  <c r="Y35" i="67"/>
  <c r="Y35" i="68"/>
  <c r="Y35" i="70"/>
  <c r="Y35" i="69"/>
  <c r="Y35" i="71"/>
  <c r="Y35" i="72"/>
  <c r="Y35" i="73"/>
  <c r="X35" i="56"/>
  <c r="X35" i="57"/>
  <c r="X35" i="58"/>
  <c r="P32" i="58"/>
  <c r="I24" i="58" s="1"/>
  <c r="X35" i="59"/>
  <c r="X35" i="60"/>
  <c r="X35" i="61"/>
  <c r="X35" i="62"/>
  <c r="X35" i="63"/>
  <c r="X35" i="64"/>
  <c r="X35" i="65"/>
  <c r="X35" i="66"/>
  <c r="X35" i="67"/>
  <c r="X35" i="68"/>
  <c r="X35" i="70"/>
  <c r="X35" i="69"/>
  <c r="X35" i="71"/>
  <c r="X35" i="72"/>
  <c r="X35" i="73"/>
  <c r="P32" i="73"/>
  <c r="I24" i="73" s="1"/>
  <c r="W35" i="56"/>
  <c r="W35" i="57"/>
  <c r="W35" i="58"/>
  <c r="W35" i="59"/>
  <c r="W35" i="60"/>
  <c r="W35" i="61"/>
  <c r="W35" i="62"/>
  <c r="W35" i="63"/>
  <c r="W35" i="64"/>
  <c r="W35" i="65"/>
  <c r="W35" i="66"/>
  <c r="W35" i="67"/>
  <c r="W35" i="68"/>
  <c r="W35" i="69"/>
  <c r="W35" i="70"/>
  <c r="W35" i="71"/>
  <c r="W35" i="72"/>
  <c r="W35" i="73"/>
  <c r="Z4" i="68"/>
  <c r="AC4" i="68" s="1"/>
  <c r="V35" i="56"/>
  <c r="V35" i="57"/>
  <c r="V35" i="58"/>
  <c r="V35" i="59"/>
  <c r="V35" i="60"/>
  <c r="V35" i="61"/>
  <c r="V35" i="62"/>
  <c r="V35" i="63"/>
  <c r="V35" i="64"/>
  <c r="V35" i="65"/>
  <c r="V35" i="66"/>
  <c r="V35" i="67"/>
  <c r="V35" i="68"/>
  <c r="V35" i="69"/>
  <c r="P10" i="70"/>
  <c r="V35" i="70"/>
  <c r="V35" i="71"/>
  <c r="P10" i="71"/>
  <c r="V35" i="72"/>
  <c r="V35" i="73"/>
  <c r="Z4" i="61"/>
  <c r="AC4" i="61" s="1"/>
  <c r="Z4" i="64"/>
  <c r="AC4" i="64" s="1"/>
  <c r="Z4" i="67"/>
  <c r="AC4" i="67" s="1"/>
  <c r="Z4" i="71"/>
  <c r="AC4" i="71" s="1"/>
  <c r="Z4" i="72"/>
  <c r="AC4" i="72" s="1"/>
  <c r="P20" i="66"/>
  <c r="U35" i="56"/>
  <c r="Z4" i="56"/>
  <c r="AC4" i="56" s="1"/>
  <c r="U35" i="57"/>
  <c r="Z4" i="58"/>
  <c r="AC4" i="58" s="1"/>
  <c r="U35" i="58"/>
  <c r="U35" i="59"/>
  <c r="Z4" i="59"/>
  <c r="AC4" i="59" s="1"/>
  <c r="P32" i="59"/>
  <c r="I24" i="59" s="1"/>
  <c r="P24" i="59" s="1"/>
  <c r="I35" i="59" s="1"/>
  <c r="U35" i="60"/>
  <c r="U35" i="61"/>
  <c r="U35" i="62"/>
  <c r="U35" i="63"/>
  <c r="U35" i="64"/>
  <c r="U35" i="65"/>
  <c r="U35" i="66"/>
  <c r="Z4" i="66"/>
  <c r="AC4" i="66" s="1"/>
  <c r="U35" i="67"/>
  <c r="U35" i="68"/>
  <c r="U35" i="69"/>
  <c r="U35" i="70"/>
  <c r="U35" i="72"/>
  <c r="U35" i="71"/>
  <c r="P32" i="71"/>
  <c r="I24" i="71" s="1"/>
  <c r="P24" i="71" s="1"/>
  <c r="I35" i="71" s="1"/>
  <c r="Z4" i="73"/>
  <c r="AC4" i="73" s="1"/>
  <c r="U35" i="73"/>
  <c r="P10" i="65"/>
  <c r="P24" i="56"/>
  <c r="I35" i="56" s="1"/>
  <c r="P24" i="57"/>
  <c r="I35" i="57" s="1"/>
  <c r="P24" i="58"/>
  <c r="I35" i="58" s="1"/>
  <c r="P24" i="60"/>
  <c r="I35" i="60" s="1"/>
  <c r="P24" i="62"/>
  <c r="P24" i="63"/>
  <c r="I35" i="63" s="1"/>
  <c r="P24" i="64"/>
  <c r="I35" i="64" s="1"/>
  <c r="P24" i="66"/>
  <c r="I35" i="66" s="1"/>
  <c r="P24" i="67"/>
  <c r="P32" i="68"/>
  <c r="I24" i="68" s="1"/>
  <c r="P24" i="68" s="1"/>
  <c r="I35" i="68" s="1"/>
  <c r="P24" i="69"/>
  <c r="I35" i="69" s="1"/>
  <c r="P24" i="73"/>
  <c r="I35" i="73" s="1"/>
  <c r="T35" i="73"/>
  <c r="P32" i="72"/>
  <c r="I24" i="72" s="1"/>
  <c r="P24" i="72" s="1"/>
  <c r="I35" i="72" s="1"/>
  <c r="T35" i="71"/>
  <c r="Z4" i="70"/>
  <c r="AC4" i="70" s="1"/>
  <c r="Z4" i="69"/>
  <c r="AC4" i="69" s="1"/>
  <c r="T35" i="68"/>
  <c r="I35" i="67"/>
  <c r="T35" i="66"/>
  <c r="T35" i="65"/>
  <c r="Z4" i="65"/>
  <c r="AC4" i="65" s="1"/>
  <c r="P32" i="65"/>
  <c r="I24" i="65" s="1"/>
  <c r="P24" i="65" s="1"/>
  <c r="Z4" i="63"/>
  <c r="AC4" i="63" s="1"/>
  <c r="T35" i="63"/>
  <c r="Z4" i="62"/>
  <c r="AC4" i="62" s="1"/>
  <c r="P32" i="61"/>
  <c r="I24" i="61" s="1"/>
  <c r="P24" i="61" s="1"/>
  <c r="I35" i="61" s="1"/>
  <c r="Z4" i="60"/>
  <c r="AC4" i="60" s="1"/>
  <c r="T35" i="58"/>
  <c r="Z4" i="57"/>
  <c r="AC4" i="57" s="1"/>
  <c r="I35" i="62"/>
  <c r="I35" i="70" l="1"/>
  <c r="I35" i="65"/>
  <c r="AE34" i="55"/>
  <c r="AE35" i="55" s="1"/>
  <c r="AD34" i="55"/>
  <c r="AD35" i="55" s="1"/>
  <c r="AC34" i="55"/>
  <c r="AC35" i="55" s="1"/>
  <c r="AB34" i="55"/>
  <c r="AB35" i="55" s="1"/>
  <c r="AA34" i="55"/>
  <c r="AA35" i="55" s="1"/>
  <c r="Z34" i="55"/>
  <c r="Y34" i="55"/>
  <c r="X34" i="55"/>
  <c r="W34" i="55"/>
  <c r="V34" i="55"/>
  <c r="U34" i="55"/>
  <c r="T34" i="55"/>
  <c r="O34" i="55"/>
  <c r="O33" i="55"/>
  <c r="O32" i="55"/>
  <c r="O30" i="55"/>
  <c r="O29" i="55"/>
  <c r="O28" i="55"/>
  <c r="O27" i="55"/>
  <c r="O26" i="55"/>
  <c r="O25" i="55"/>
  <c r="O24" i="55"/>
  <c r="O22" i="55"/>
  <c r="O21" i="55"/>
  <c r="O20" i="55"/>
  <c r="P20" i="55" s="1"/>
  <c r="O18" i="55"/>
  <c r="O17" i="55"/>
  <c r="O16" i="55"/>
  <c r="O15" i="55"/>
  <c r="O14" i="55"/>
  <c r="O13" i="55"/>
  <c r="O12" i="55"/>
  <c r="O11" i="55"/>
  <c r="O10" i="55"/>
  <c r="P10" i="55" s="1"/>
  <c r="AE34" i="54"/>
  <c r="AE35" i="54" s="1"/>
  <c r="AD34" i="54"/>
  <c r="AD35" i="54" s="1"/>
  <c r="AC34" i="54"/>
  <c r="AC35" i="54" s="1"/>
  <c r="AB34" i="54"/>
  <c r="AB35" i="54" s="1"/>
  <c r="AA34" i="54"/>
  <c r="AA35" i="54" s="1"/>
  <c r="Z34" i="54"/>
  <c r="Y34" i="54"/>
  <c r="X34" i="54"/>
  <c r="W34" i="54"/>
  <c r="V34" i="54"/>
  <c r="U34" i="54"/>
  <c r="T34" i="54"/>
  <c r="T35" i="54" s="1"/>
  <c r="O34" i="54"/>
  <c r="O33" i="54"/>
  <c r="O32" i="54"/>
  <c r="P32" i="54" s="1"/>
  <c r="I24" i="54" s="1"/>
  <c r="O30" i="54"/>
  <c r="O29" i="54"/>
  <c r="O28" i="54"/>
  <c r="O27" i="54"/>
  <c r="O26" i="54"/>
  <c r="O25" i="54"/>
  <c r="O24" i="54"/>
  <c r="O22" i="54"/>
  <c r="O21" i="54"/>
  <c r="O20" i="54"/>
  <c r="P20" i="54" s="1"/>
  <c r="O18" i="54"/>
  <c r="O17" i="54"/>
  <c r="O16" i="54"/>
  <c r="O15" i="54"/>
  <c r="O14" i="54"/>
  <c r="O13" i="54"/>
  <c r="O12" i="54"/>
  <c r="O11" i="54"/>
  <c r="O10" i="54"/>
  <c r="P10" i="54" s="1"/>
  <c r="AE34" i="53"/>
  <c r="AE35" i="53" s="1"/>
  <c r="AD34" i="53"/>
  <c r="AD35" i="53" s="1"/>
  <c r="AC34" i="53"/>
  <c r="AC35" i="53" s="1"/>
  <c r="AB34" i="53"/>
  <c r="AB35" i="53" s="1"/>
  <c r="AA34" i="53"/>
  <c r="AA35" i="53" s="1"/>
  <c r="Z34" i="53"/>
  <c r="Y34" i="53"/>
  <c r="X34" i="53"/>
  <c r="W34" i="53"/>
  <c r="V34" i="53"/>
  <c r="U34" i="53"/>
  <c r="T34" i="53"/>
  <c r="T35" i="53" s="1"/>
  <c r="O34" i="53"/>
  <c r="O33" i="53"/>
  <c r="O32" i="53"/>
  <c r="P32" i="53" s="1"/>
  <c r="I24" i="53" s="1"/>
  <c r="O30" i="53"/>
  <c r="O29" i="53"/>
  <c r="O28" i="53"/>
  <c r="O27" i="53"/>
  <c r="O26" i="53"/>
  <c r="O25" i="53"/>
  <c r="O24" i="53"/>
  <c r="O22" i="53"/>
  <c r="O21" i="53"/>
  <c r="O20" i="53"/>
  <c r="P20" i="53" s="1"/>
  <c r="O18" i="53"/>
  <c r="O17" i="53"/>
  <c r="O16" i="53"/>
  <c r="O15" i="53"/>
  <c r="O14" i="53"/>
  <c r="O13" i="53"/>
  <c r="O12" i="53"/>
  <c r="O11" i="53"/>
  <c r="O10" i="53"/>
  <c r="P10" i="53" s="1"/>
  <c r="AE34" i="52"/>
  <c r="AE35" i="52" s="1"/>
  <c r="AD34" i="52"/>
  <c r="AD35" i="52" s="1"/>
  <c r="AC34" i="52"/>
  <c r="AC35" i="52" s="1"/>
  <c r="AB34" i="52"/>
  <c r="AB35" i="52" s="1"/>
  <c r="AA34" i="52"/>
  <c r="AA35" i="52" s="1"/>
  <c r="Z34" i="52"/>
  <c r="Y34" i="52"/>
  <c r="X34" i="52"/>
  <c r="W34" i="52"/>
  <c r="V34" i="52"/>
  <c r="V35" i="52" s="1"/>
  <c r="U34" i="52"/>
  <c r="T34" i="52"/>
  <c r="T35" i="52" s="1"/>
  <c r="O34" i="52"/>
  <c r="O33" i="52"/>
  <c r="O32" i="52"/>
  <c r="O30" i="52"/>
  <c r="O29" i="52"/>
  <c r="O28" i="52"/>
  <c r="O27" i="52"/>
  <c r="O26" i="52"/>
  <c r="O25" i="52"/>
  <c r="O24" i="52"/>
  <c r="O22" i="52"/>
  <c r="O21" i="52"/>
  <c r="O20" i="52"/>
  <c r="P20" i="52" s="1"/>
  <c r="O18" i="52"/>
  <c r="O17" i="52"/>
  <c r="O16" i="52"/>
  <c r="O15" i="52"/>
  <c r="O14" i="52"/>
  <c r="O13" i="52"/>
  <c r="O12" i="52"/>
  <c r="O11" i="52"/>
  <c r="O10" i="52"/>
  <c r="AE34" i="51"/>
  <c r="AE35" i="51" s="1"/>
  <c r="AD34" i="51"/>
  <c r="AD35" i="51" s="1"/>
  <c r="AC34" i="51"/>
  <c r="AC35" i="51" s="1"/>
  <c r="AB34" i="51"/>
  <c r="AB35" i="51" s="1"/>
  <c r="AA34" i="51"/>
  <c r="AA35" i="51" s="1"/>
  <c r="Z34" i="51"/>
  <c r="Y34" i="51"/>
  <c r="X34" i="51"/>
  <c r="W34" i="51"/>
  <c r="V34" i="51"/>
  <c r="U34" i="51"/>
  <c r="T34" i="51"/>
  <c r="T35" i="51" s="1"/>
  <c r="O34" i="51"/>
  <c r="O33" i="51"/>
  <c r="O32" i="51"/>
  <c r="O30" i="51"/>
  <c r="O29" i="51"/>
  <c r="O28" i="51"/>
  <c r="O27" i="51"/>
  <c r="O26" i="51"/>
  <c r="O25" i="51"/>
  <c r="O24" i="51"/>
  <c r="O22" i="51"/>
  <c r="O21" i="51"/>
  <c r="O20" i="51"/>
  <c r="P20" i="51" s="1"/>
  <c r="O18" i="51"/>
  <c r="O17" i="51"/>
  <c r="O16" i="51"/>
  <c r="O15" i="51"/>
  <c r="O14" i="51"/>
  <c r="O13" i="51"/>
  <c r="O12" i="51"/>
  <c r="O11" i="51"/>
  <c r="O10" i="51"/>
  <c r="P10" i="51" s="1"/>
  <c r="AE34" i="50"/>
  <c r="AE35" i="50" s="1"/>
  <c r="AD34" i="50"/>
  <c r="AD35" i="50" s="1"/>
  <c r="AC34" i="50"/>
  <c r="AC35" i="50" s="1"/>
  <c r="AB34" i="50"/>
  <c r="AB35" i="50" s="1"/>
  <c r="AA34" i="50"/>
  <c r="AA35" i="50" s="1"/>
  <c r="Z34" i="50"/>
  <c r="Y34" i="50"/>
  <c r="X34" i="50"/>
  <c r="W34" i="50"/>
  <c r="V34" i="50"/>
  <c r="U34" i="50"/>
  <c r="T34" i="50"/>
  <c r="O34" i="50"/>
  <c r="O33" i="50"/>
  <c r="O32" i="50"/>
  <c r="O30" i="50"/>
  <c r="O29" i="50"/>
  <c r="O28" i="50"/>
  <c r="O27" i="50"/>
  <c r="O26" i="50"/>
  <c r="O25" i="50"/>
  <c r="O24" i="50"/>
  <c r="O22" i="50"/>
  <c r="O21" i="50"/>
  <c r="O20" i="50"/>
  <c r="P20" i="50" s="1"/>
  <c r="O18" i="50"/>
  <c r="O17" i="50"/>
  <c r="O16" i="50"/>
  <c r="O15" i="50"/>
  <c r="O14" i="50"/>
  <c r="O13" i="50"/>
  <c r="O12" i="50"/>
  <c r="O11" i="50"/>
  <c r="O10" i="50"/>
  <c r="P10" i="50" s="1"/>
  <c r="AE34" i="49"/>
  <c r="AE35" i="49" s="1"/>
  <c r="AD34" i="49"/>
  <c r="AD35" i="49" s="1"/>
  <c r="AC34" i="49"/>
  <c r="AC35" i="49" s="1"/>
  <c r="AB34" i="49"/>
  <c r="AB35" i="49" s="1"/>
  <c r="AA34" i="49"/>
  <c r="AA35" i="49" s="1"/>
  <c r="Z34" i="49"/>
  <c r="Y34" i="49"/>
  <c r="X34" i="49"/>
  <c r="W34" i="49"/>
  <c r="V34" i="49"/>
  <c r="U34" i="49"/>
  <c r="T34" i="49"/>
  <c r="T35" i="49" s="1"/>
  <c r="O34" i="49"/>
  <c r="O33" i="49"/>
  <c r="O32" i="49"/>
  <c r="O30" i="49"/>
  <c r="O29" i="49"/>
  <c r="O28" i="49"/>
  <c r="O27" i="49"/>
  <c r="O26" i="49"/>
  <c r="O25" i="49"/>
  <c r="O24" i="49"/>
  <c r="O22" i="49"/>
  <c r="O21" i="49"/>
  <c r="O20" i="49"/>
  <c r="P20" i="49" s="1"/>
  <c r="O18" i="49"/>
  <c r="O17" i="49"/>
  <c r="O16" i="49"/>
  <c r="O15" i="49"/>
  <c r="O14" i="49"/>
  <c r="O13" i="49"/>
  <c r="O12" i="49"/>
  <c r="O11" i="49"/>
  <c r="O10" i="49"/>
  <c r="P10" i="49" s="1"/>
  <c r="AE34" i="48"/>
  <c r="AE35" i="48" s="1"/>
  <c r="AD34" i="48"/>
  <c r="AD35" i="48" s="1"/>
  <c r="AC34" i="48"/>
  <c r="AC35" i="48" s="1"/>
  <c r="AB34" i="48"/>
  <c r="AB35" i="48" s="1"/>
  <c r="AA34" i="48"/>
  <c r="AA35" i="48" s="1"/>
  <c r="Z34" i="48"/>
  <c r="Y34" i="48"/>
  <c r="X34" i="48"/>
  <c r="W34" i="48"/>
  <c r="V34" i="48"/>
  <c r="U34" i="48"/>
  <c r="T34" i="48"/>
  <c r="T35" i="48" s="1"/>
  <c r="O34" i="48"/>
  <c r="O33" i="48"/>
  <c r="O32" i="48"/>
  <c r="O30" i="48"/>
  <c r="O29" i="48"/>
  <c r="O28" i="48"/>
  <c r="O27" i="48"/>
  <c r="O26" i="48"/>
  <c r="O25" i="48"/>
  <c r="O24" i="48"/>
  <c r="O22" i="48"/>
  <c r="O21" i="48"/>
  <c r="O20" i="48"/>
  <c r="P20" i="48" s="1"/>
  <c r="O18" i="48"/>
  <c r="O17" i="48"/>
  <c r="O16" i="48"/>
  <c r="O15" i="48"/>
  <c r="O14" i="48"/>
  <c r="O13" i="48"/>
  <c r="O12" i="48"/>
  <c r="O11" i="48"/>
  <c r="O10" i="48"/>
  <c r="P10" i="48" s="1"/>
  <c r="AE34" i="47"/>
  <c r="AE35" i="47" s="1"/>
  <c r="AD34" i="47"/>
  <c r="AD35" i="47" s="1"/>
  <c r="AC34" i="47"/>
  <c r="AC35" i="47" s="1"/>
  <c r="AB34" i="47"/>
  <c r="AB35" i="47" s="1"/>
  <c r="AA34" i="47"/>
  <c r="AA35" i="47" s="1"/>
  <c r="Z34" i="47"/>
  <c r="Y34" i="47"/>
  <c r="X34" i="47"/>
  <c r="W34" i="47"/>
  <c r="V34" i="47"/>
  <c r="U34" i="47"/>
  <c r="T34" i="47"/>
  <c r="O34" i="47"/>
  <c r="O33" i="47"/>
  <c r="O32" i="47"/>
  <c r="O30" i="47"/>
  <c r="O29" i="47"/>
  <c r="O28" i="47"/>
  <c r="O27" i="47"/>
  <c r="O26" i="47"/>
  <c r="O25" i="47"/>
  <c r="O24" i="47"/>
  <c r="O22" i="47"/>
  <c r="O21" i="47"/>
  <c r="O20" i="47"/>
  <c r="P20" i="47" s="1"/>
  <c r="O18" i="47"/>
  <c r="O17" i="47"/>
  <c r="O16" i="47"/>
  <c r="O15" i="47"/>
  <c r="O14" i="47"/>
  <c r="O13" i="47"/>
  <c r="O12" i="47"/>
  <c r="O11" i="47"/>
  <c r="O10" i="47"/>
  <c r="P10" i="47" s="1"/>
  <c r="Z35" i="55" l="1"/>
  <c r="T4" i="55"/>
  <c r="W4" i="55" s="1"/>
  <c r="Z35" i="54"/>
  <c r="T4" i="54"/>
  <c r="W4" i="54" s="1"/>
  <c r="Z35" i="53"/>
  <c r="T4" i="53"/>
  <c r="W4" i="53" s="1"/>
  <c r="Z35" i="52"/>
  <c r="T4" i="52"/>
  <c r="W4" i="52" s="1"/>
  <c r="Z35" i="51"/>
  <c r="T4" i="51"/>
  <c r="W4" i="51" s="1"/>
  <c r="Z35" i="50"/>
  <c r="T4" i="50"/>
  <c r="W4" i="50" s="1"/>
  <c r="Z35" i="49"/>
  <c r="T4" i="49"/>
  <c r="W4" i="49" s="1"/>
  <c r="Z35" i="48"/>
  <c r="T4" i="48"/>
  <c r="W4" i="48" s="1"/>
  <c r="Z35" i="47"/>
  <c r="T4" i="47"/>
  <c r="W4" i="47" s="1"/>
  <c r="Y35" i="47"/>
  <c r="Y35" i="48"/>
  <c r="Y35" i="49"/>
  <c r="Y35" i="50"/>
  <c r="Y35" i="51"/>
  <c r="Y35" i="52"/>
  <c r="Y35" i="53"/>
  <c r="Y35" i="54"/>
  <c r="Y35" i="55"/>
  <c r="X35" i="47"/>
  <c r="X35" i="48"/>
  <c r="X35" i="49"/>
  <c r="X35" i="50"/>
  <c r="X35" i="51"/>
  <c r="X35" i="52"/>
  <c r="P10" i="52"/>
  <c r="X35" i="53"/>
  <c r="X35" i="54"/>
  <c r="X35" i="55"/>
  <c r="W35" i="47"/>
  <c r="W35" i="48"/>
  <c r="W35" i="49"/>
  <c r="W35" i="50"/>
  <c r="W35" i="51"/>
  <c r="W35" i="53"/>
  <c r="W35" i="52"/>
  <c r="W35" i="54"/>
  <c r="W35" i="55"/>
  <c r="V35" i="47"/>
  <c r="V35" i="54"/>
  <c r="V35" i="55"/>
  <c r="V35" i="53"/>
  <c r="V35" i="48"/>
  <c r="V35" i="49"/>
  <c r="V35" i="50"/>
  <c r="P32" i="50"/>
  <c r="I24" i="50" s="1"/>
  <c r="P24" i="50" s="1"/>
  <c r="I35" i="50" s="1"/>
  <c r="V35" i="51"/>
  <c r="U35" i="47"/>
  <c r="U35" i="48"/>
  <c r="Z4" i="50"/>
  <c r="AC4" i="50" s="1"/>
  <c r="Z4" i="51"/>
  <c r="AC4" i="51" s="1"/>
  <c r="U35" i="54"/>
  <c r="U35" i="55"/>
  <c r="Z4" i="55"/>
  <c r="AC4" i="55" s="1"/>
  <c r="U35" i="53"/>
  <c r="U35" i="52"/>
  <c r="U35" i="51"/>
  <c r="P32" i="51"/>
  <c r="I24" i="51" s="1"/>
  <c r="P24" i="51" s="1"/>
  <c r="I35" i="51" s="1"/>
  <c r="U35" i="50"/>
  <c r="U35" i="49"/>
  <c r="P24" i="53"/>
  <c r="I35" i="53" s="1"/>
  <c r="P24" i="54"/>
  <c r="T35" i="55"/>
  <c r="P32" i="55"/>
  <c r="I24" i="55" s="1"/>
  <c r="P24" i="55" s="1"/>
  <c r="I35" i="55" s="1"/>
  <c r="Z4" i="54"/>
  <c r="AC4" i="54" s="1"/>
  <c r="I35" i="54"/>
  <c r="Z4" i="53"/>
  <c r="AC4" i="53" s="1"/>
  <c r="Z4" i="52"/>
  <c r="AC4" i="52" s="1"/>
  <c r="P32" i="52"/>
  <c r="I24" i="52" s="1"/>
  <c r="P24" i="52" s="1"/>
  <c r="I35" i="52" s="1"/>
  <c r="T35" i="50"/>
  <c r="Z4" i="49"/>
  <c r="AC4" i="49" s="1"/>
  <c r="P32" i="49"/>
  <c r="I24" i="49" s="1"/>
  <c r="P24" i="49" s="1"/>
  <c r="I35" i="49" s="1"/>
  <c r="Z4" i="48"/>
  <c r="AC4" i="48" s="1"/>
  <c r="P32" i="48"/>
  <c r="I24" i="48" s="1"/>
  <c r="P24" i="48" s="1"/>
  <c r="I35" i="48" s="1"/>
  <c r="Z4" i="47"/>
  <c r="AC4" i="47" s="1"/>
  <c r="T35" i="47"/>
  <c r="P32" i="47"/>
  <c r="I24" i="47" s="1"/>
  <c r="P24" i="47" s="1"/>
  <c r="I35" i="47" s="1"/>
  <c r="AE34" i="46"/>
  <c r="AE35" i="46" s="1"/>
  <c r="AD34" i="46"/>
  <c r="AD35" i="46" s="1"/>
  <c r="AC34" i="46"/>
  <c r="AC35" i="46" s="1"/>
  <c r="AB34" i="46"/>
  <c r="AB35" i="46" s="1"/>
  <c r="AA34" i="46"/>
  <c r="AA35" i="46" s="1"/>
  <c r="Z34" i="46"/>
  <c r="Y34" i="46"/>
  <c r="X34" i="46"/>
  <c r="W34" i="46"/>
  <c r="V34" i="46"/>
  <c r="U34" i="46"/>
  <c r="T34" i="46"/>
  <c r="O34" i="46"/>
  <c r="O33" i="46"/>
  <c r="O32" i="46"/>
  <c r="O30" i="46"/>
  <c r="O29" i="46"/>
  <c r="O28" i="46"/>
  <c r="O27" i="46"/>
  <c r="O26" i="46"/>
  <c r="O25" i="46"/>
  <c r="O24" i="46"/>
  <c r="O22" i="46"/>
  <c r="O21" i="46"/>
  <c r="O20" i="46"/>
  <c r="P20" i="46" s="1"/>
  <c r="O18" i="46"/>
  <c r="O17" i="46"/>
  <c r="O16" i="46"/>
  <c r="O15" i="46"/>
  <c r="O14" i="46"/>
  <c r="O13" i="46"/>
  <c r="O12" i="46"/>
  <c r="O11" i="46"/>
  <c r="O10" i="46"/>
  <c r="P10" i="46" s="1"/>
  <c r="AE34" i="45"/>
  <c r="AE35" i="45" s="1"/>
  <c r="AD34" i="45"/>
  <c r="AD35" i="45" s="1"/>
  <c r="AC34" i="45"/>
  <c r="AC35" i="45" s="1"/>
  <c r="AB34" i="45"/>
  <c r="AB35" i="45" s="1"/>
  <c r="AA34" i="45"/>
  <c r="AA35" i="45" s="1"/>
  <c r="Z34" i="45"/>
  <c r="Y34" i="45"/>
  <c r="X34" i="45"/>
  <c r="W34" i="45"/>
  <c r="V34" i="45"/>
  <c r="U34" i="45"/>
  <c r="T34" i="45"/>
  <c r="T35" i="45" s="1"/>
  <c r="O34" i="45"/>
  <c r="O33" i="45"/>
  <c r="O32" i="45"/>
  <c r="O30" i="45"/>
  <c r="O29" i="45"/>
  <c r="O28" i="45"/>
  <c r="O27" i="45"/>
  <c r="O26" i="45"/>
  <c r="O25" i="45"/>
  <c r="O24" i="45"/>
  <c r="O22" i="45"/>
  <c r="O21" i="45"/>
  <c r="O20" i="45"/>
  <c r="P20" i="45" s="1"/>
  <c r="O18" i="45"/>
  <c r="O17" i="45"/>
  <c r="O16" i="45"/>
  <c r="O15" i="45"/>
  <c r="O14" i="45"/>
  <c r="O13" i="45"/>
  <c r="O12" i="45"/>
  <c r="O11" i="45"/>
  <c r="O10" i="45"/>
  <c r="P10" i="45" s="1"/>
  <c r="AE34" i="42"/>
  <c r="AE35" i="42" s="1"/>
  <c r="AD34" i="42"/>
  <c r="AD35" i="42" s="1"/>
  <c r="AC34" i="42"/>
  <c r="AC35" i="42" s="1"/>
  <c r="AB34" i="42"/>
  <c r="AB35" i="42" s="1"/>
  <c r="AA34" i="42"/>
  <c r="AA35" i="42" s="1"/>
  <c r="Z34" i="42"/>
  <c r="Y34" i="42"/>
  <c r="X34" i="42"/>
  <c r="W34" i="42"/>
  <c r="V34" i="42"/>
  <c r="U34" i="42"/>
  <c r="T34" i="42"/>
  <c r="O34" i="42"/>
  <c r="O33" i="42"/>
  <c r="O32" i="42"/>
  <c r="O30" i="42"/>
  <c r="O29" i="42"/>
  <c r="O28" i="42"/>
  <c r="O27" i="42"/>
  <c r="O26" i="42"/>
  <c r="O25" i="42"/>
  <c r="O24" i="42"/>
  <c r="O22" i="42"/>
  <c r="O21" i="42"/>
  <c r="O20" i="42"/>
  <c r="P20" i="42" s="1"/>
  <c r="O18" i="42"/>
  <c r="O17" i="42"/>
  <c r="O16" i="42"/>
  <c r="O15" i="42"/>
  <c r="O14" i="42"/>
  <c r="O13" i="42"/>
  <c r="O12" i="42"/>
  <c r="O11" i="42"/>
  <c r="O10" i="42"/>
  <c r="P10" i="42" s="1"/>
  <c r="Z35" i="46" l="1"/>
  <c r="T4" i="46"/>
  <c r="W4" i="46" s="1"/>
  <c r="Z35" i="45"/>
  <c r="T4" i="45"/>
  <c r="W4" i="45" s="1"/>
  <c r="Z35" i="42"/>
  <c r="T4" i="42"/>
  <c r="W4" i="42" s="1"/>
  <c r="Y35" i="42"/>
  <c r="Y35" i="45"/>
  <c r="Y35" i="46"/>
  <c r="X35" i="46"/>
  <c r="X35" i="45"/>
  <c r="X35" i="42"/>
  <c r="W35" i="42"/>
  <c r="W35" i="45"/>
  <c r="W35" i="46"/>
  <c r="Z4" i="42"/>
  <c r="AC4" i="42" s="1"/>
  <c r="V35" i="42"/>
  <c r="V35" i="46"/>
  <c r="V35" i="45"/>
  <c r="U35" i="46"/>
  <c r="Z4" i="46"/>
  <c r="AC4" i="46" s="1"/>
  <c r="P32" i="46"/>
  <c r="I24" i="46" s="1"/>
  <c r="P24" i="46" s="1"/>
  <c r="I35" i="46" s="1"/>
  <c r="P32" i="42"/>
  <c r="I24" i="42" s="1"/>
  <c r="P24" i="42" s="1"/>
  <c r="I35" i="42" s="1"/>
  <c r="P32" i="45"/>
  <c r="I24" i="45" s="1"/>
  <c r="P24" i="45" s="1"/>
  <c r="I35" i="45" s="1"/>
  <c r="U35" i="42"/>
  <c r="T35" i="42"/>
  <c r="Z4" i="45"/>
  <c r="AC4" i="45" s="1"/>
  <c r="T35" i="46"/>
  <c r="U35" i="45"/>
  <c r="AB27" i="39" l="1"/>
  <c r="AG28" i="39"/>
  <c r="AB28" i="39"/>
  <c r="AB18" i="39" l="1"/>
  <c r="AG23" i="39"/>
  <c r="AB23" i="39"/>
  <c r="AB43" i="39"/>
  <c r="AB44" i="39"/>
  <c r="AG42" i="39"/>
  <c r="O25" i="37" l="1"/>
  <c r="O14" i="37"/>
  <c r="O25" i="38"/>
  <c r="O14" i="38"/>
  <c r="AB18" i="40" l="1"/>
  <c r="AG16" i="40"/>
  <c r="AG40" i="39"/>
  <c r="AB40" i="39"/>
  <c r="AB42" i="39"/>
  <c r="AG41" i="39"/>
  <c r="AB41" i="39"/>
  <c r="AG38" i="39"/>
  <c r="AB38" i="39"/>
  <c r="AG36" i="39"/>
  <c r="AB36" i="39"/>
  <c r="AG37" i="39"/>
  <c r="AB37" i="39"/>
  <c r="AG25" i="39"/>
  <c r="AB25" i="39"/>
  <c r="AG39" i="39"/>
  <c r="AB39" i="39"/>
  <c r="AG30" i="39"/>
  <c r="AB30" i="39"/>
  <c r="AG35" i="39"/>
  <c r="AB35" i="39"/>
  <c r="AG26" i="39"/>
  <c r="AB26" i="39"/>
  <c r="AG33" i="39"/>
  <c r="AB33" i="39"/>
  <c r="AG20" i="39"/>
  <c r="AB20" i="39"/>
  <c r="AG34" i="39"/>
  <c r="AB34" i="39"/>
  <c r="AG24" i="39"/>
  <c r="AB24" i="39"/>
  <c r="AG16" i="39"/>
  <c r="AG18" i="39"/>
  <c r="AG21" i="39"/>
  <c r="AB21" i="39"/>
  <c r="AG27" i="39"/>
  <c r="AG22" i="39"/>
  <c r="AB22" i="39"/>
  <c r="AG29" i="39"/>
  <c r="AB29" i="39"/>
  <c r="AG31" i="39"/>
  <c r="AB31" i="39"/>
  <c r="AG19" i="39"/>
  <c r="AB19" i="39"/>
  <c r="AG32" i="39"/>
  <c r="AB32" i="39"/>
  <c r="AG17" i="39"/>
  <c r="T34" i="38" l="1"/>
  <c r="AE34" i="38"/>
  <c r="AE35" i="38" s="1"/>
  <c r="AD34" i="38"/>
  <c r="AD35" i="38" s="1"/>
  <c r="AC34" i="38"/>
  <c r="AC35" i="38" s="1"/>
  <c r="AB34" i="38"/>
  <c r="AB35" i="38" s="1"/>
  <c r="AA34" i="38"/>
  <c r="AA35" i="38" s="1"/>
  <c r="Z34" i="38"/>
  <c r="Y34" i="38"/>
  <c r="X34" i="38"/>
  <c r="W34" i="38"/>
  <c r="V34" i="38"/>
  <c r="U34" i="38"/>
  <c r="O34" i="38"/>
  <c r="O33" i="38"/>
  <c r="O32" i="38"/>
  <c r="P32" i="38" s="1"/>
  <c r="O30" i="38"/>
  <c r="O29" i="38"/>
  <c r="O28" i="38"/>
  <c r="O27" i="38"/>
  <c r="O26" i="38"/>
  <c r="O24" i="38"/>
  <c r="O22" i="38"/>
  <c r="O21" i="38"/>
  <c r="O20" i="38"/>
  <c r="P20" i="38" s="1"/>
  <c r="O18" i="38"/>
  <c r="O17" i="38"/>
  <c r="O16" i="38"/>
  <c r="O15" i="38"/>
  <c r="O13" i="38"/>
  <c r="O12" i="38"/>
  <c r="O11" i="38"/>
  <c r="O10" i="38"/>
  <c r="P10" i="38" s="1"/>
  <c r="AE34" i="37"/>
  <c r="AE35" i="37" s="1"/>
  <c r="AD34" i="37"/>
  <c r="AD35" i="37" s="1"/>
  <c r="AC34" i="37"/>
  <c r="AC35" i="37" s="1"/>
  <c r="AB34" i="37"/>
  <c r="AB35" i="37" s="1"/>
  <c r="AA34" i="37"/>
  <c r="AA35" i="37" s="1"/>
  <c r="Z34" i="37"/>
  <c r="Z35" i="37" s="1"/>
  <c r="Y34" i="37"/>
  <c r="X34" i="37"/>
  <c r="W34" i="37"/>
  <c r="V34" i="37"/>
  <c r="U34" i="37"/>
  <c r="T34" i="37"/>
  <c r="O34" i="37"/>
  <c r="O33" i="37"/>
  <c r="O32" i="37"/>
  <c r="P32" i="37" s="1"/>
  <c r="O30" i="37"/>
  <c r="O29" i="37"/>
  <c r="O28" i="37"/>
  <c r="O27" i="37"/>
  <c r="O26" i="37"/>
  <c r="O24" i="37"/>
  <c r="O22" i="37"/>
  <c r="O21" i="37"/>
  <c r="O20" i="37"/>
  <c r="P20" i="37" s="1"/>
  <c r="O18" i="37"/>
  <c r="O17" i="37"/>
  <c r="O16" i="37"/>
  <c r="O15" i="37"/>
  <c r="O13" i="37"/>
  <c r="O12" i="37"/>
  <c r="O11" i="37"/>
  <c r="O10" i="37"/>
  <c r="P10" i="37" s="1"/>
  <c r="Z35" i="38" l="1"/>
  <c r="T4" i="38"/>
  <c r="W4" i="38" s="1"/>
  <c r="Y35" i="37"/>
  <c r="Z4" i="37"/>
  <c r="AC4" i="37" s="1"/>
  <c r="T4" i="37"/>
  <c r="W4" i="37" s="1"/>
  <c r="Y35" i="38"/>
  <c r="Z4" i="38"/>
  <c r="AC4" i="38" s="1"/>
  <c r="X35" i="38"/>
  <c r="X35" i="37"/>
  <c r="W35" i="38"/>
  <c r="V35" i="37"/>
  <c r="V35" i="38"/>
  <c r="U35" i="37"/>
  <c r="U35" i="38"/>
  <c r="T35" i="37"/>
  <c r="I35" i="37"/>
  <c r="I35" i="38"/>
  <c r="W35" i="37"/>
  <c r="T35" i="38"/>
  <c r="C7" i="7" l="1"/>
  <c r="D7" i="7"/>
  <c r="E7" i="7"/>
  <c r="C8" i="7"/>
  <c r="D8" i="7"/>
  <c r="E8" i="7"/>
  <c r="F7" i="7"/>
  <c r="F8" i="7" s="1"/>
  <c r="V34" i="6" l="1"/>
  <c r="V35" i="6" s="1"/>
  <c r="W34" i="6"/>
  <c r="W35" i="6" s="1"/>
  <c r="X34" i="6"/>
  <c r="X35" i="6" s="1"/>
  <c r="Y34" i="6"/>
  <c r="Y35" i="6" s="1"/>
  <c r="Z34" i="6"/>
  <c r="Z35" i="6" s="1"/>
  <c r="AA34" i="6"/>
  <c r="AB34" i="6"/>
  <c r="AB35" i="6" s="1"/>
  <c r="AC34" i="6"/>
  <c r="AC35" i="6" s="1"/>
  <c r="AD34" i="6"/>
  <c r="AD35" i="6" s="1"/>
  <c r="AE34" i="6"/>
  <c r="AE35" i="6" s="1"/>
  <c r="AA35" i="6"/>
  <c r="U34" i="6"/>
  <c r="U35" i="6" s="1"/>
  <c r="T34" i="6"/>
  <c r="T35" i="6" s="1"/>
  <c r="O25" i="6" l="1"/>
  <c r="O14" i="6"/>
  <c r="W4" i="6" l="1"/>
  <c r="O34" i="6" l="1"/>
  <c r="O32" i="6"/>
  <c r="O33" i="6"/>
  <c r="O11" i="6"/>
  <c r="O10" i="6"/>
  <c r="O12" i="6"/>
  <c r="P32" i="6" l="1"/>
  <c r="O30" i="6" l="1"/>
  <c r="O29" i="6"/>
  <c r="O28" i="6"/>
  <c r="O27" i="6"/>
  <c r="O26" i="6"/>
  <c r="O24" i="6"/>
  <c r="O22" i="6"/>
  <c r="O21" i="6"/>
  <c r="O20" i="6"/>
  <c r="O18" i="6"/>
  <c r="O17" i="6"/>
  <c r="O16" i="6"/>
  <c r="O15" i="6"/>
  <c r="O13" i="6"/>
  <c r="P10" i="6" l="1"/>
  <c r="P24" i="6"/>
  <c r="P20" i="6"/>
  <c r="I35" i="6" l="1"/>
  <c r="Z4" i="6"/>
  <c r="AC4" i="6" s="1"/>
</calcChain>
</file>

<file path=xl/sharedStrings.xml><?xml version="1.0" encoding="utf-8"?>
<sst xmlns="http://schemas.openxmlformats.org/spreadsheetml/2006/main" count="5001" uniqueCount="348">
  <si>
    <t>SUPPLIER  EVALUATION  REPORT</t>
  </si>
  <si>
    <t>Page 1 / 2</t>
  </si>
  <si>
    <t xml:space="preserve">Company name : </t>
  </si>
  <si>
    <t>MONTH</t>
  </si>
  <si>
    <t>SCORE</t>
  </si>
  <si>
    <t>RANK</t>
  </si>
  <si>
    <t xml:space="preserve">AVERAGE FOR YEAR 2025	</t>
  </si>
  <si>
    <t>Attention   :</t>
  </si>
  <si>
    <t xml:space="preserve">Tel. : </t>
  </si>
  <si>
    <t>JAN</t>
  </si>
  <si>
    <t xml:space="preserve">Evaluation Items  </t>
  </si>
  <si>
    <t xml:space="preserve"> A. Quality evaluation (byQA&amp;TQM )  50 Points</t>
  </si>
  <si>
    <t>Full  Score</t>
  </si>
  <si>
    <t>Standard Score</t>
  </si>
  <si>
    <t>Time Score</t>
  </si>
  <si>
    <t xml:space="preserve">Evaluation </t>
  </si>
  <si>
    <t xml:space="preserve">  A1 :  Quality problem (40 Point)</t>
  </si>
  <si>
    <t xml:space="preserve">         1) Claim from the field return, re-call, warranty claim, dealer return </t>
  </si>
  <si>
    <t>1 Time</t>
  </si>
  <si>
    <t>(-40 Points)</t>
  </si>
  <si>
    <t xml:space="preserve">         2) E&amp;H’s customer production lines stop due to quality problem(SCAR rank A)</t>
  </si>
  <si>
    <t>(-35 Points)</t>
  </si>
  <si>
    <t xml:space="preserve">         3) E&amp;H production lines stop due to quality (SCAR rank B)</t>
  </si>
  <si>
    <t>(-15 Points)</t>
  </si>
  <si>
    <t xml:space="preserve">         4) E&amp;H’s customer complain (SCAR rank B)</t>
  </si>
  <si>
    <t>(- 10 Points)</t>
  </si>
  <si>
    <t xml:space="preserve">         5) Detection of defect in production process (SCAR rank C)</t>
  </si>
  <si>
    <t>(- 2 Points)</t>
  </si>
  <si>
    <t xml:space="preserve">         6) Recurrence of quality problem within one year (12 months)</t>
  </si>
  <si>
    <t xml:space="preserve">(- 10 Points) </t>
  </si>
  <si>
    <t xml:space="preserve">         7) Overdue countermeasures report replies</t>
  </si>
  <si>
    <t>(- 4 Points)</t>
  </si>
  <si>
    <t xml:space="preserve">         8) Overdue audit corrective action</t>
  </si>
  <si>
    <t xml:space="preserve">         9) Lack of support for quality activities (Such as Sorting, Rework)</t>
  </si>
  <si>
    <t xml:space="preserve">  A2 : Effect to Environment ( 10 Points)</t>
  </si>
  <si>
    <t xml:space="preserve">        1) Over standard chemical composition (E.Partner Management)</t>
  </si>
  <si>
    <t>(-10 Points)</t>
  </si>
  <si>
    <t xml:space="preserve">        2) Wastewater and sewage management is not in line with provisions of the law</t>
  </si>
  <si>
    <t xml:space="preserve">        3) Chemical hazard test report (ICP report) is not the latest version</t>
  </si>
  <si>
    <t>B. Delivery evaluation( by CS&amp;MP) 40 Points</t>
  </si>
  <si>
    <t xml:space="preserve">        1) Supplier delivery is not on time.</t>
  </si>
  <si>
    <t>(- 1 Point)</t>
  </si>
  <si>
    <t xml:space="preserve">        2) E&amp;H’s customer line stop due to delivery problem</t>
  </si>
  <si>
    <t xml:space="preserve">        3) Incomplete quantity of goods delivered, based on P/O</t>
  </si>
  <si>
    <t xml:space="preserve">        4) Extra freight</t>
  </si>
  <si>
    <t xml:space="preserve">        5) Damaged goods due to transportation prepared by supplier</t>
  </si>
  <si>
    <t xml:space="preserve"> (- 5 Points)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</si>
  <si>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</si>
  <si>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</si>
  <si>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</si>
  <si>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</si>
  <si>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</si>
  <si>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</si>
  <si>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</si>
  <si>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</si>
  <si>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</si>
  <si>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</si>
  <si>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</si>
  <si>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</si>
  <si>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</si>
  <si>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6) Abnormal containers (damaged, broken)</t>
  </si>
  <si>
    <t>Excellent(%)</t>
  </si>
  <si>
    <t xml:space="preserve">        7) Overdue document providing or feedback</t>
  </si>
  <si>
    <t>Target(%)</t>
  </si>
  <si>
    <t>C. Purchase Amount (by CS&amp;MP) 10 Points</t>
  </si>
  <si>
    <r>
      <rPr>
        <sz val="14"/>
        <color rgb="FF0033CC"/>
        <rFont val="Wingdings"/>
        <charset val="2"/>
      </rPr>
      <t>w</t>
    </r>
    <r>
      <rPr>
        <sz val="14"/>
        <color rgb="FF0033CC"/>
        <rFont val="Cordia New"/>
        <family val="2"/>
      </rPr>
      <t>Quality</t>
    </r>
  </si>
  <si>
    <r>
      <t xml:space="preserve">        1) 1,000,000Pcs or 10,000 Kgs. </t>
    </r>
    <r>
      <rPr>
        <sz val="12"/>
        <rFont val="Symbol"/>
        <family val="1"/>
        <charset val="2"/>
      </rPr>
      <t>£</t>
    </r>
    <r>
      <rPr>
        <sz val="14"/>
        <rFont val="Cordia New"/>
        <family val="2"/>
      </rPr>
      <t xml:space="preserve"> Purchase amount   </t>
    </r>
  </si>
  <si>
    <t>(+10 Points)</t>
  </si>
  <si>
    <r>
      <rPr>
        <sz val="14"/>
        <color rgb="FF0033CC"/>
        <rFont val="Wingdings"/>
        <charset val="2"/>
      </rPr>
      <t>w</t>
    </r>
    <r>
      <rPr>
        <sz val="14"/>
        <color rgb="FF0033CC"/>
        <rFont val="Cordia New"/>
        <family val="2"/>
      </rPr>
      <t>Delivery</t>
    </r>
  </si>
  <si>
    <r>
      <t xml:space="preserve">        2) 100,000 Pcs or 5,000 Kgs </t>
    </r>
    <r>
      <rPr>
        <sz val="12"/>
        <rFont val="Symbol"/>
        <family val="1"/>
        <charset val="2"/>
      </rPr>
      <t>£</t>
    </r>
    <r>
      <rPr>
        <sz val="14"/>
        <rFont val="Cordia New"/>
        <family val="2"/>
      </rPr>
      <t>Purchase Amount</t>
    </r>
    <r>
      <rPr>
        <sz val="14"/>
        <rFont val="Symbol"/>
        <family val="1"/>
        <charset val="2"/>
      </rPr>
      <t>&lt;</t>
    </r>
    <r>
      <rPr>
        <sz val="14"/>
        <rFont val="Cordia New"/>
        <family val="2"/>
      </rPr>
      <t xml:space="preserve">1,000,000 Pcs or 10,000 Kgs.  </t>
    </r>
  </si>
  <si>
    <t>(+5 Points)</t>
  </si>
  <si>
    <r>
      <rPr>
        <sz val="12"/>
        <color rgb="FF0033CC"/>
        <rFont val="Wingdings"/>
        <charset val="2"/>
      </rPr>
      <t>w</t>
    </r>
    <r>
      <rPr>
        <sz val="12"/>
        <color rgb="FF0033CC"/>
        <rFont val="Cordia New"/>
        <family val="2"/>
      </rPr>
      <t>Purchase Amount</t>
    </r>
  </si>
  <si>
    <r>
      <t xml:space="preserve">        3) 0 </t>
    </r>
    <r>
      <rPr>
        <sz val="14"/>
        <rFont val="Symbol"/>
        <family val="1"/>
        <charset val="2"/>
      </rPr>
      <t>&lt;</t>
    </r>
    <r>
      <rPr>
        <sz val="14"/>
        <rFont val="Cordia New"/>
        <family val="2"/>
      </rPr>
      <t xml:space="preserve">Purchase Amount </t>
    </r>
    <r>
      <rPr>
        <sz val="14"/>
        <rFont val="Symbol"/>
        <family val="1"/>
        <charset val="2"/>
      </rPr>
      <t>&lt;</t>
    </r>
    <r>
      <rPr>
        <sz val="14"/>
        <rFont val="Cordia New"/>
        <family val="2"/>
      </rPr>
      <t xml:space="preserve"> 100,000 Pcs or 5,000 Kgs</t>
    </r>
  </si>
  <si>
    <t>(+2 Points)</t>
  </si>
  <si>
    <t>Result (%)</t>
  </si>
  <si>
    <t xml:space="preserve">Total Score </t>
  </si>
  <si>
    <t>Grade</t>
  </si>
  <si>
    <t>Comment;</t>
  </si>
  <si>
    <t>Quality  :</t>
  </si>
  <si>
    <t>Delivery :</t>
  </si>
  <si>
    <t>Score (%)</t>
  </si>
  <si>
    <t>Level score</t>
  </si>
  <si>
    <t>Evaluation</t>
  </si>
  <si>
    <t>Remark</t>
  </si>
  <si>
    <t>E&amp;H Precision(Thailand)Co.,Ltd.</t>
  </si>
  <si>
    <t>Supplier acknowledgment</t>
  </si>
  <si>
    <t>Score=100</t>
  </si>
  <si>
    <t>A</t>
  </si>
  <si>
    <t>Excellent</t>
  </si>
  <si>
    <t>Excellent performance</t>
  </si>
  <si>
    <t>Issued</t>
  </si>
  <si>
    <t>Checked</t>
  </si>
  <si>
    <t>Approved</t>
  </si>
  <si>
    <r>
      <rPr>
        <b/>
        <sz val="14"/>
        <rFont val="Cordia New"/>
        <family val="2"/>
      </rPr>
      <t>80</t>
    </r>
    <r>
      <rPr>
        <b/>
        <sz val="14"/>
        <rFont val="Symbol"/>
        <family val="1"/>
        <charset val="2"/>
      </rPr>
      <t>£</t>
    </r>
    <r>
      <rPr>
        <b/>
        <sz val="11"/>
        <rFont val="Calibri Light"/>
        <family val="2"/>
        <scheme val="major"/>
      </rPr>
      <t>Score</t>
    </r>
    <r>
      <rPr>
        <b/>
        <sz val="14"/>
        <rFont val="Cordia New"/>
        <family val="2"/>
      </rPr>
      <t>&lt; 100</t>
    </r>
  </si>
  <si>
    <t>B</t>
  </si>
  <si>
    <t>Good</t>
  </si>
  <si>
    <t>Retained on the Approved Supplier List (ASL).</t>
  </si>
  <si>
    <r>
      <rPr>
        <b/>
        <sz val="14"/>
        <rFont val="Cordia New"/>
        <family val="2"/>
      </rPr>
      <t>70</t>
    </r>
    <r>
      <rPr>
        <b/>
        <sz val="14"/>
        <rFont val="Symbol"/>
        <family val="1"/>
        <charset val="2"/>
      </rPr>
      <t>£</t>
    </r>
    <r>
      <rPr>
        <b/>
        <sz val="11"/>
        <rFont val="Calibri Light"/>
        <family val="2"/>
        <scheme val="major"/>
      </rPr>
      <t>Score</t>
    </r>
    <r>
      <rPr>
        <b/>
        <sz val="14"/>
        <rFont val="Cordia New"/>
        <family val="2"/>
      </rPr>
      <t>&lt; 80</t>
    </r>
  </si>
  <si>
    <t>C</t>
  </si>
  <si>
    <t>Fair</t>
  </si>
  <si>
    <t>Supplier must submit quality improvement plan to E&amp;H</t>
  </si>
  <si>
    <t xml:space="preserve"> within 5 working days.</t>
  </si>
  <si>
    <t>Score&lt;70</t>
  </si>
  <si>
    <t>D</t>
  </si>
  <si>
    <t>Poor</t>
  </si>
  <si>
    <t xml:space="preserve">Supplier must submit quality improvement plan to E&amp;H and </t>
  </si>
  <si>
    <t>are required to present it at E&amp;H within 5 working days.</t>
  </si>
  <si>
    <t>Remark : Please confirm your acknowledgement within 7 days / Thank you very much for your kind of cooperation.</t>
  </si>
  <si>
    <t>E&amp;H Precision(Thailand)Co., Ltd.</t>
  </si>
  <si>
    <t>Date  :  5-Feb-2025</t>
  </si>
  <si>
    <t xml:space="preserve">                                                          FM-0704-3  Rev.2</t>
  </si>
  <si>
    <t>Page 2 / 2</t>
  </si>
  <si>
    <t>CORRECTIVE  ACTION  REPORT</t>
  </si>
  <si>
    <t>No.</t>
  </si>
  <si>
    <t>Problem</t>
  </si>
  <si>
    <t>Root case</t>
  </si>
  <si>
    <t xml:space="preserve">Action </t>
  </si>
  <si>
    <t>Person</t>
  </si>
  <si>
    <t>Start</t>
  </si>
  <si>
    <t>Finished date</t>
  </si>
  <si>
    <t xml:space="preserve">        FM-0704-3  Rev.2</t>
  </si>
  <si>
    <t>Example</t>
  </si>
  <si>
    <t>FORMULAR</t>
  </si>
  <si>
    <t>FEB</t>
  </si>
  <si>
    <t>MAR</t>
  </si>
  <si>
    <t>APR</t>
  </si>
  <si>
    <r>
      <rPr>
        <b/>
        <sz val="20"/>
        <color rgb="FF0033CC"/>
        <rFont val="Wingdings"/>
        <charset val="2"/>
      </rPr>
      <t>w</t>
    </r>
    <r>
      <rPr>
        <b/>
        <sz val="20"/>
        <color rgb="FF0033CC"/>
        <rFont val="Cordia New"/>
        <family val="2"/>
      </rPr>
      <t>Quality</t>
    </r>
    <r>
      <rPr>
        <b/>
        <sz val="20"/>
        <color rgb="FF0033CC"/>
        <rFont val="Cordia New"/>
        <family val="2"/>
        <charset val="2"/>
      </rPr>
      <t xml:space="preserve"> (Fullscore 50)</t>
    </r>
  </si>
  <si>
    <r>
      <rPr>
        <b/>
        <sz val="20"/>
        <color rgb="FF0033CC"/>
        <rFont val="Wingdings"/>
        <charset val="2"/>
      </rPr>
      <t>w</t>
    </r>
    <r>
      <rPr>
        <b/>
        <sz val="20"/>
        <color rgb="FF0033CC"/>
        <rFont val="Cordia New"/>
        <family val="2"/>
      </rPr>
      <t>Delivery</t>
    </r>
    <r>
      <rPr>
        <b/>
        <sz val="20"/>
        <color rgb="FF0033CC"/>
        <rFont val="Cordia New"/>
        <family val="2"/>
        <charset val="2"/>
      </rPr>
      <t>(Fullscore 40)</t>
    </r>
  </si>
  <si>
    <r>
      <rPr>
        <b/>
        <sz val="22"/>
        <color rgb="FF0033CC"/>
        <rFont val="Wingdings"/>
        <charset val="2"/>
      </rPr>
      <t>w</t>
    </r>
    <r>
      <rPr>
        <b/>
        <sz val="22"/>
        <color rgb="FF0033CC"/>
        <rFont val="Cordia New"/>
        <family val="2"/>
      </rPr>
      <t>Purchase Amount</t>
    </r>
  </si>
  <si>
    <t>Evaluation result %</t>
  </si>
  <si>
    <t>Rank</t>
  </si>
  <si>
    <t xml:space="preserve">SUMMARY SUPPLIER/OUTSOURCE EVALUATION REPORT FOR </t>
  </si>
  <si>
    <t>Year 2025-2026</t>
  </si>
  <si>
    <t>Amino Co., Ltd.</t>
  </si>
  <si>
    <t>Code</t>
  </si>
  <si>
    <t>Short Name</t>
  </si>
  <si>
    <t>Vendor Name</t>
  </si>
  <si>
    <t>YEAR2025</t>
  </si>
  <si>
    <t>YEAR2026</t>
  </si>
  <si>
    <t>AVG. SCORE</t>
  </si>
  <si>
    <t>GRADE TARGET</t>
  </si>
  <si>
    <t>GRADE THIS MONTH</t>
  </si>
  <si>
    <t>AVG. 6 MONTH</t>
  </si>
  <si>
    <t>MAY</t>
  </si>
  <si>
    <t>JUN</t>
  </si>
  <si>
    <t>JUL</t>
  </si>
  <si>
    <t>AUG</t>
  </si>
  <si>
    <t>SEP</t>
  </si>
  <si>
    <t>OCT</t>
  </si>
  <si>
    <t>NOV</t>
  </si>
  <si>
    <t>DEC</t>
  </si>
  <si>
    <t>Score</t>
  </si>
  <si>
    <t>MA-003</t>
  </si>
  <si>
    <t>Almet Thai</t>
  </si>
  <si>
    <t>Almet Thai Limited</t>
  </si>
  <si>
    <t>MA-037</t>
  </si>
  <si>
    <t>Kyoto</t>
  </si>
  <si>
    <t>Kyoto Seikan Co., Ltd.</t>
  </si>
  <si>
    <t>MA-134</t>
  </si>
  <si>
    <t>DONGGUAN</t>
  </si>
  <si>
    <t>DONGGUAN WANXIN METAL PRODUCTS CO.,LTD.</t>
  </si>
  <si>
    <t>MA-083</t>
  </si>
  <si>
    <t>UGITECH</t>
  </si>
  <si>
    <t>UGITECH ITALIA S.r.l.</t>
  </si>
  <si>
    <t>MA-014</t>
  </si>
  <si>
    <t>Daido</t>
  </si>
  <si>
    <t>Daido Kogyo (Thailand) Co., Ltd.</t>
  </si>
  <si>
    <t>MA-121</t>
  </si>
  <si>
    <t>JIANGSU</t>
  </si>
  <si>
    <t>JIANGSU TRI-M SPECIAL METALS CO.,LTD.</t>
  </si>
  <si>
    <t>MA-002</t>
  </si>
  <si>
    <t>Akiyama-SC</t>
  </si>
  <si>
    <t>Akiyama-SC (Vietnam) Co., Ltd.</t>
  </si>
  <si>
    <t>MA-001</t>
  </si>
  <si>
    <t>Akiyama jp</t>
  </si>
  <si>
    <t>Akiyama Seiko Co., Ltd.</t>
  </si>
  <si>
    <t>MA-005</t>
  </si>
  <si>
    <t xml:space="preserve">Apollo </t>
  </si>
  <si>
    <t>Apollo Tec Trading Co., Ltd.</t>
  </si>
  <si>
    <t>MA-137</t>
  </si>
  <si>
    <t>Voestalpine AG</t>
  </si>
  <si>
    <t>MA-073</t>
  </si>
  <si>
    <t>T.S.K.</t>
  </si>
  <si>
    <t>T.S.K. Forging Co., Ltd.</t>
  </si>
  <si>
    <t>MA-071</t>
  </si>
  <si>
    <t>Steeltec</t>
  </si>
  <si>
    <t>Steeltec AG</t>
  </si>
  <si>
    <t>MA-136</t>
  </si>
  <si>
    <t>Bedra</t>
  </si>
  <si>
    <t>BEDRA HONGKONG ALLOY MATERIAL CO.,LTD.</t>
  </si>
  <si>
    <t>MA-095</t>
  </si>
  <si>
    <t>CAMELLIA</t>
  </si>
  <si>
    <t>CAMELLIA METAL (THAILAND) CO.,LTD</t>
  </si>
  <si>
    <t>MA-115</t>
  </si>
  <si>
    <t>SHINSHO THAI</t>
  </si>
  <si>
    <t>Shinsho Metals (Thailand) Limited.</t>
  </si>
  <si>
    <t>MA-049</t>
  </si>
  <si>
    <t>NSL</t>
  </si>
  <si>
    <t>NSL Industry Co., Ltd.</t>
  </si>
  <si>
    <t>MA-007</t>
  </si>
  <si>
    <t>BGH</t>
  </si>
  <si>
    <t xml:space="preserve">BGH Endelstahlwerke Gmbh </t>
  </si>
  <si>
    <t>MA-004</t>
  </si>
  <si>
    <t>Amino</t>
  </si>
  <si>
    <t>MA-038</t>
  </si>
  <si>
    <t>Lotus Metal</t>
  </si>
  <si>
    <t>Lotus Metal (Thailand)Co.,Ltd.</t>
  </si>
  <si>
    <t>MA-103</t>
  </si>
  <si>
    <t>Nippon Steel</t>
  </si>
  <si>
    <t>NIPPON STEEL TRADING (THAILAND) CO.,LTD</t>
  </si>
  <si>
    <t>MA-111</t>
  </si>
  <si>
    <t>Shinsho Cor</t>
  </si>
  <si>
    <t>Shinsho Metals Corporation</t>
  </si>
  <si>
    <t>MA-040</t>
  </si>
  <si>
    <t>MENAM</t>
  </si>
  <si>
    <t>MENAM STAINLESS WIRE</t>
  </si>
  <si>
    <t>MA-036</t>
  </si>
  <si>
    <t>Komatsu</t>
  </si>
  <si>
    <t>Komatsu Seiki (Thailand) Co., Ltd.</t>
  </si>
  <si>
    <t>MA-006</t>
  </si>
  <si>
    <t>Asai Thai</t>
  </si>
  <si>
    <t>Asai Thai Co., Ltd.</t>
  </si>
  <si>
    <t>MA-112</t>
  </si>
  <si>
    <t>LMAT</t>
  </si>
  <si>
    <t>LMAT VINA CO.,LTD</t>
  </si>
  <si>
    <t>MA-052</t>
  </si>
  <si>
    <t>Okaya</t>
  </si>
  <si>
    <t>Okaya (Thailand) Co., Ltd.</t>
  </si>
  <si>
    <t>MA-063</t>
  </si>
  <si>
    <t>Sakuma</t>
  </si>
  <si>
    <t>Sakuma Thailand Co., Ltd.</t>
  </si>
  <si>
    <t>MA-088</t>
  </si>
  <si>
    <t xml:space="preserve">Yamaichi </t>
  </si>
  <si>
    <t>Yamaichi Special Steel (Thailand) Co., Ltd.</t>
  </si>
  <si>
    <t>MA-107</t>
  </si>
  <si>
    <t>NST WIRE</t>
  </si>
  <si>
    <t>Takahashi Steel (NST WIRE)</t>
  </si>
  <si>
    <t>Remark :</t>
  </si>
  <si>
    <t xml:space="preserve">Evaluation criteria </t>
  </si>
  <si>
    <t>APPROVED</t>
  </si>
  <si>
    <t>CHECKED</t>
  </si>
  <si>
    <t>ISSUED</t>
  </si>
  <si>
    <r>
      <t>80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  <charset val="222"/>
      </rPr>
      <t>Score&lt; 100</t>
    </r>
  </si>
  <si>
    <r>
      <t>70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  <charset val="222"/>
      </rPr>
      <t>Score&lt; 80</t>
    </r>
  </si>
  <si>
    <t>E&amp;H Precision (Thailand) Co.,Ltd.</t>
  </si>
  <si>
    <t>Date: 10-May-2021</t>
  </si>
  <si>
    <t>PA-005</t>
  </si>
  <si>
    <t>Eto</t>
  </si>
  <si>
    <t>Eto Co., Ltd.</t>
  </si>
  <si>
    <t>PA-012</t>
  </si>
  <si>
    <t>Summit</t>
  </si>
  <si>
    <t>Summit Chugoku Seira Co., Ltd</t>
  </si>
  <si>
    <t>PA-010</t>
  </si>
  <si>
    <t xml:space="preserve">Nissan spring </t>
  </si>
  <si>
    <t>Nissan Spring (Thailand) Co., Ltd.</t>
  </si>
  <si>
    <t>FM-0704-23  Rev.1</t>
  </si>
  <si>
    <t>NISSAN SPRING (THAILAND) CO.,LTD.</t>
  </si>
  <si>
    <t>AVERAGE FOR YEAR 2026</t>
  </si>
  <si>
    <t>K.WANNA / K. KANNIKA</t>
  </si>
  <si>
    <t xml:space="preserve">038-955-690-5 </t>
  </si>
  <si>
    <t>ETO CO.,LTD</t>
  </si>
  <si>
    <t>KAMEYAMA SAN</t>
  </si>
  <si>
    <t xml:space="preserve"> 001-81-3-5860-0814</t>
  </si>
  <si>
    <t>No shipment is arrived to E&amp;H in July'26 . Therefore there is no purchase amount and delivery score.</t>
  </si>
  <si>
    <t>SUMMIT CHUGOKU SEIRA CO.,LTD</t>
  </si>
  <si>
    <t>MS.JUTHARAT</t>
  </si>
  <si>
    <t xml:space="preserve"> (66 38) 447-077-78</t>
  </si>
  <si>
    <t>AKIYAMA SEIKO CO., LTD.</t>
  </si>
  <si>
    <t>MR.SHINDEN / MS. MANABE</t>
  </si>
  <si>
    <t>001-81-33663-0319</t>
  </si>
  <si>
    <t>AKIYAMA-SC (VIETNAM)CO.,LTD.</t>
  </si>
  <si>
    <t>MS.DINH</t>
  </si>
  <si>
    <t>(+84)-3213974529</t>
  </si>
  <si>
    <t>AMINO CO.,LTD.</t>
  </si>
  <si>
    <t>MS.CHALIDA</t>
  </si>
  <si>
    <t>02-249-8515</t>
  </si>
  <si>
    <t>APOLLO TEC TRADING CO., LTD.</t>
  </si>
  <si>
    <t>MR.BUNDIT</t>
  </si>
  <si>
    <t>034-452419-23</t>
  </si>
  <si>
    <t>Didn't support self-audit (Due 24/Jul/26, Not yet replied)</t>
  </si>
  <si>
    <t>ASAI THAI CO.,LTD.</t>
  </si>
  <si>
    <t>MR.WARANPONG</t>
  </si>
  <si>
    <t>0-3531-4014-7 ; 038-213334</t>
  </si>
  <si>
    <t>ALMET THAI LIMITED</t>
  </si>
  <si>
    <t>MS.SUPATRA / K.NIPAPORN</t>
  </si>
  <si>
    <t>662-3232635-40, 662-7095607</t>
  </si>
  <si>
    <t>Didn't support self-audit (Due 24/Jul/26, Supplier submit on 4-Aug-26, overdue.)</t>
  </si>
  <si>
    <t>MR.SONGWIT / MR.APICHAT</t>
  </si>
  <si>
    <t>84 204 3900-104</t>
  </si>
  <si>
    <t>BGH  Edelstahl Lugau GmbH</t>
  </si>
  <si>
    <t>MR.FRANK / MR.CONSTANCE</t>
  </si>
  <si>
    <t>037295 29 305</t>
  </si>
  <si>
    <t>MS.JIRAPHAN</t>
  </si>
  <si>
    <t>062-5565849</t>
  </si>
  <si>
    <t>DAIDO KOGYO(THAILAND) CO.,LTD.</t>
  </si>
  <si>
    <t>MR.SOMNUK</t>
  </si>
  <si>
    <t>02-2312055</t>
  </si>
  <si>
    <t xml:space="preserve"> DONGGUAN WANXIN METAL PRODUCTS CO.,LTD.</t>
  </si>
  <si>
    <t>MR.YEE WING and MS. TINA FAN</t>
  </si>
  <si>
    <t>86-769 82891606</t>
  </si>
  <si>
    <t>MRS.YANXIN ZHANG</t>
  </si>
  <si>
    <t>86-02583457724</t>
  </si>
  <si>
    <t xml:space="preserve"> KOMATSU SEIKI (THAILAND) CO.,LTD.</t>
  </si>
  <si>
    <t>Ms.Saowarat, Ms.Monwipa</t>
  </si>
  <si>
    <t>033-659048-50</t>
  </si>
  <si>
    <t>KYOTO SEIKAN CO.,LTD.</t>
  </si>
  <si>
    <t>KAWAMOTO SAN</t>
  </si>
  <si>
    <t>MS.HAO</t>
  </si>
  <si>
    <t>LOTUS METAL (THAILAND) CO.,LTD.</t>
  </si>
  <si>
    <t>MR. PATTARAWAT</t>
  </si>
  <si>
    <t>41 41 209 52 90</t>
  </si>
  <si>
    <t>MR. WORADECHA</t>
  </si>
  <si>
    <t>02-7253999</t>
  </si>
  <si>
    <t>K.NIRINYA</t>
  </si>
  <si>
    <t>02-7441844 #730/094-920-6006</t>
  </si>
  <si>
    <t>NSL INDUSTRY CO.,LTD.</t>
  </si>
  <si>
    <t>Mr.Watchara, Ms.Rossana</t>
  </si>
  <si>
    <t>0-2427-9227</t>
  </si>
  <si>
    <t>OKAYA(THAILAND) CO.,LTD</t>
  </si>
  <si>
    <t>MS.KANPITCHA</t>
  </si>
  <si>
    <t xml:space="preserve"> 0-2163-6333,0-2163-6341-50</t>
  </si>
  <si>
    <t xml:space="preserve"> SAKUMA THAILAND CO.,LTD.</t>
  </si>
  <si>
    <t xml:space="preserve"> MS.SOMRUEDEE</t>
  </si>
  <si>
    <t>038-296870-4</t>
  </si>
  <si>
    <t>Mr.Sudhisak, Ms.Pornpimon</t>
  </si>
  <si>
    <t>02-255-8537-8</t>
  </si>
  <si>
    <t xml:space="preserve">  SHINSHO METALS CORPORATION</t>
  </si>
  <si>
    <t>Mr.Kobayashi, Ms.Mori</t>
  </si>
  <si>
    <t>813-5719-4421</t>
  </si>
  <si>
    <t xml:space="preserve"> STEELTEC AG</t>
  </si>
  <si>
    <t>Ms.Silvia</t>
  </si>
  <si>
    <t>(0774) 53-3331</t>
  </si>
  <si>
    <t xml:space="preserve"> T.S.K. FORGING CO.,LTD.</t>
  </si>
  <si>
    <t>Ms.Kamolthip</t>
  </si>
  <si>
    <t>038-214238-9</t>
  </si>
  <si>
    <t>MS.NARANLAPAT</t>
  </si>
  <si>
    <t>02-0260142</t>
  </si>
  <si>
    <t>VOESTALPINE AG</t>
  </si>
  <si>
    <t xml:space="preserve">MR. ANDRE OSWALD  </t>
  </si>
  <si>
    <t>0041-32 376 05 50</t>
  </si>
  <si>
    <t>CAR-06-2026_Voestalpine_51CrV4-G-2.8_Over spec, Reply CAR Over due (Due 15/Jun/26, Not yet replied)</t>
  </si>
  <si>
    <t>NST WIRE &amp; WELDING(THAILAND)</t>
  </si>
  <si>
    <t>Ms.Wirarat / Ms.Chuanphit</t>
  </si>
  <si>
    <t>No shipment is arrived to E&amp;H in June'25 . Therefore there is no purchase amount and delivery score.</t>
  </si>
  <si>
    <t>YAMAICHI SPECIAL STEEL (THAILAND) CO.,LTD.</t>
  </si>
  <si>
    <t>MS.RATCHANEE /MS.PAKJIRA</t>
  </si>
  <si>
    <t>02-634-4503-4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</si>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</sst>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10409]d\ mmm\ yy;@"/>
    <numFmt numFmtId="165" formatCode="0.0"/>
    <numFmt numFmtId="166" formatCode="0.0000%"/>
    <numFmt numFmtId="167" formatCode="0.0%"/>
    <numFmt numFmtId="168" formatCode="mmm/yyyy"/>
    <numFmt numFmtId="169" formatCode="_ * #,##0.00_ ;_ * \-#,##0.00_ ;_ * &quot;-&quot;??_ ;_ @_ "/>
  </numFmts>
  <fonts count="85"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color indexed="10"/>
      <name val="Cordia New"/>
      <family val="2"/>
    </font>
    <font>
      <sz val="14"/>
      <name val="Angsana New"/>
      <family val="1"/>
    </font>
    <font>
      <sz val="12"/>
      <name val="Cordia New"/>
      <family val="2"/>
    </font>
    <font>
      <b/>
      <sz val="12"/>
      <name val="Cordia New"/>
      <family val="2"/>
    </font>
    <font>
      <sz val="11"/>
      <name val="Cordia New"/>
      <family val="2"/>
    </font>
    <font>
      <b/>
      <sz val="14"/>
      <name val="Cordia New"/>
      <family val="2"/>
    </font>
    <font>
      <b/>
      <sz val="14"/>
      <color indexed="10"/>
      <name val="Cordia New"/>
      <family val="2"/>
    </font>
    <font>
      <sz val="11"/>
      <name val="Cooper Black"/>
      <family val="1"/>
    </font>
    <font>
      <u/>
      <sz val="11"/>
      <name val="Cooper Black"/>
      <family val="1"/>
    </font>
    <font>
      <b/>
      <u/>
      <sz val="16"/>
      <name val="Cordia New"/>
      <family val="2"/>
    </font>
    <font>
      <b/>
      <u/>
      <sz val="14"/>
      <name val="Cordia New"/>
      <family val="2"/>
    </font>
    <font>
      <b/>
      <sz val="14"/>
      <color indexed="9"/>
      <name val="Cordia New"/>
      <family val="2"/>
    </font>
    <font>
      <sz val="12"/>
      <color indexed="9"/>
      <name val="Cordia New"/>
      <family val="2"/>
    </font>
    <font>
      <b/>
      <sz val="14"/>
      <color indexed="8"/>
      <name val="Cordia New"/>
      <family val="2"/>
    </font>
    <font>
      <b/>
      <sz val="14"/>
      <color rgb="FFFF0000"/>
      <name val="Cordia New"/>
      <family val="2"/>
    </font>
    <font>
      <b/>
      <sz val="11"/>
      <name val="Albertus MT Lt"/>
      <family val="1"/>
    </font>
    <font>
      <b/>
      <sz val="12"/>
      <name val="Albertus MT Lt"/>
      <family val="1"/>
    </font>
    <font>
      <b/>
      <sz val="14"/>
      <name val="Albertus MT Lt"/>
      <family val="1"/>
    </font>
    <font>
      <b/>
      <sz val="20"/>
      <color indexed="9"/>
      <name val="Bookman"/>
      <family val="1"/>
    </font>
    <font>
      <sz val="8"/>
      <name val="Albertus MT Lt"/>
      <charset val="222"/>
    </font>
    <font>
      <b/>
      <sz val="10"/>
      <name val="Albertus MT Lt"/>
      <family val="1"/>
    </font>
    <font>
      <b/>
      <sz val="10"/>
      <name val="Albertus MT Lt"/>
    </font>
    <font>
      <b/>
      <sz val="11"/>
      <name val="Albertus MT Lt"/>
    </font>
    <font>
      <sz val="14"/>
      <name val="Cordia New"/>
      <family val="2"/>
    </font>
    <font>
      <sz val="16"/>
      <name val="Tahoma"/>
      <family val="2"/>
    </font>
    <font>
      <sz val="14"/>
      <name val="Browallia New"/>
      <family val="2"/>
    </font>
    <font>
      <sz val="16"/>
      <name val="Cordia New"/>
      <family val="2"/>
    </font>
    <font>
      <sz val="11"/>
      <name val="Arial"/>
      <family val="2"/>
    </font>
    <font>
      <b/>
      <sz val="28"/>
      <name val="Angsana New"/>
      <family val="1"/>
    </font>
    <font>
      <sz val="12"/>
      <color rgb="FF0033CC"/>
      <name val="Cordia New"/>
      <family val="2"/>
      <charset val="2"/>
    </font>
    <font>
      <sz val="12"/>
      <color rgb="FF0033CC"/>
      <name val="Cordia New"/>
      <family val="2"/>
    </font>
    <font>
      <sz val="12"/>
      <color rgb="FF0033CC"/>
      <name val="Wingdings"/>
      <charset val="2"/>
    </font>
    <font>
      <sz val="14"/>
      <color rgb="FFFF0000"/>
      <name val="Cordia New"/>
      <family val="2"/>
    </font>
    <font>
      <b/>
      <sz val="16"/>
      <name val="Cordia New"/>
      <family val="2"/>
    </font>
    <font>
      <sz val="12"/>
      <name val="Symbol"/>
      <family val="1"/>
      <charset val="2"/>
    </font>
    <font>
      <sz val="14"/>
      <name val="Symbol"/>
      <family val="1"/>
      <charset val="2"/>
    </font>
    <font>
      <sz val="14"/>
      <name val="Cordia New"/>
      <family val="2"/>
      <charset val="2"/>
    </font>
    <font>
      <b/>
      <sz val="18"/>
      <name val="Cordia New"/>
      <family val="2"/>
    </font>
    <font>
      <sz val="14"/>
      <color rgb="FF0033CC"/>
      <name val="Cordia New"/>
      <family val="2"/>
      <charset val="2"/>
    </font>
    <font>
      <sz val="14"/>
      <color rgb="FF0033CC"/>
      <name val="Wingdings"/>
      <charset val="2"/>
    </font>
    <font>
      <sz val="14"/>
      <color rgb="FF0033CC"/>
      <name val="Cordia New"/>
      <family val="2"/>
    </font>
    <font>
      <sz val="8"/>
      <name val="Cordia New"/>
      <family val="2"/>
    </font>
    <font>
      <b/>
      <sz val="14"/>
      <name val="Bookman"/>
      <family val="1"/>
    </font>
    <font>
      <b/>
      <sz val="12"/>
      <name val="Bookman"/>
      <family val="1"/>
    </font>
    <font>
      <b/>
      <sz val="14"/>
      <name val="Cordia New"/>
      <family val="2"/>
      <charset val="2"/>
    </font>
    <font>
      <b/>
      <sz val="14"/>
      <name val="Symbol"/>
      <family val="1"/>
      <charset val="2"/>
    </font>
    <font>
      <b/>
      <sz val="11"/>
      <name val="Calibri Light"/>
      <family val="2"/>
      <scheme val="major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33CC"/>
      <name val="Cordia New"/>
      <family val="2"/>
      <charset val="2"/>
    </font>
    <font>
      <b/>
      <sz val="20"/>
      <color rgb="FF0033CC"/>
      <name val="Wingdings"/>
      <charset val="2"/>
    </font>
    <font>
      <b/>
      <sz val="20"/>
      <color rgb="FF0033CC"/>
      <name val="Cordia New"/>
      <family val="2"/>
    </font>
    <font>
      <b/>
      <sz val="22"/>
      <color rgb="FF0033CC"/>
      <name val="Cordia New"/>
      <family val="2"/>
      <charset val="2"/>
    </font>
    <font>
      <b/>
      <sz val="22"/>
      <color rgb="FF0033CC"/>
      <name val="Wingdings"/>
      <charset val="2"/>
    </font>
    <font>
      <b/>
      <sz val="22"/>
      <color rgb="FF0033CC"/>
      <name val="Cordia New"/>
      <family val="2"/>
    </font>
    <font>
      <sz val="16"/>
      <color theme="1"/>
      <name val="Calibri"/>
      <family val="2"/>
      <scheme val="minor"/>
    </font>
    <font>
      <b/>
      <sz val="20"/>
      <name val="Cordia New"/>
      <family val="2"/>
    </font>
    <font>
      <sz val="16"/>
      <color rgb="FFFF0000"/>
      <name val="Calibri"/>
      <family val="2"/>
      <scheme val="minor"/>
    </font>
    <font>
      <b/>
      <sz val="24"/>
      <name val="Times New Roman"/>
      <family val="1"/>
    </font>
    <font>
      <b/>
      <u/>
      <sz val="24"/>
      <color rgb="FF0000FF"/>
      <name val="Times New Roman"/>
      <family val="1"/>
    </font>
    <font>
      <b/>
      <u/>
      <sz val="24"/>
      <name val="Times New Roman"/>
      <family val="1"/>
    </font>
    <font>
      <sz val="11"/>
      <color indexed="17"/>
      <name val="Calibri"/>
      <family val="2"/>
    </font>
    <font>
      <b/>
      <sz val="12"/>
      <name val="Arial"/>
      <family val="2"/>
      <charset val="222"/>
    </font>
    <font>
      <b/>
      <sz val="12"/>
      <name val="Arial"/>
      <family val="2"/>
    </font>
    <font>
      <sz val="9"/>
      <name val="Arial"/>
      <family val="2"/>
      <charset val="222"/>
    </font>
    <font>
      <sz val="12"/>
      <name val="Arial"/>
      <family val="2"/>
      <charset val="222"/>
    </font>
    <font>
      <sz val="9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22"/>
      <name val="Cordia New"/>
      <family val="2"/>
    </font>
    <font>
      <sz val="14"/>
      <name val="Cordia New"/>
      <family val="2"/>
    </font>
    <font>
      <b/>
      <u/>
      <sz val="12"/>
      <name val="Arial"/>
      <family val="2"/>
    </font>
    <font>
      <b/>
      <sz val="12"/>
      <name val="Calibri"/>
      <family val="2"/>
    </font>
    <font>
      <sz val="10"/>
      <name val="Arial"/>
      <family val="2"/>
      <charset val="22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6"/>
      <color indexed="8"/>
      <name val="Cordia New"/>
      <family val="2"/>
    </font>
    <font>
      <b/>
      <sz val="14"/>
      <color rgb="FF000000"/>
      <name val="Cordia New"/>
      <family val="2"/>
    </font>
    <font>
      <sz val="11"/>
      <color rgb="FF242424"/>
      <name val="Aptos Narrow"/>
      <charset val="1"/>
    </font>
    <font>
      <sz val="9"/>
      <color rgb="FFFF0000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3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73" fillId="0" borderId="0"/>
    <xf numFmtId="0" fontId="69" fillId="0" borderId="0"/>
  </cellStyleXfs>
  <cellXfs count="568">
    <xf numFmtId="0" fontId="0" fillId="0" borderId="0" xfId="0"/>
    <xf numFmtId="0" fontId="25" fillId="0" borderId="0" xfId="3"/>
    <xf numFmtId="0" fontId="1" fillId="0" borderId="0" xfId="3" applyFont="1" applyAlignment="1">
      <alignment horizontal="right" vertical="center"/>
    </xf>
    <xf numFmtId="0" fontId="27" fillId="0" borderId="12" xfId="3" applyFont="1" applyBorder="1" applyAlignment="1">
      <alignment horizontal="center" vertical="top"/>
    </xf>
    <xf numFmtId="164" fontId="27" fillId="0" borderId="12" xfId="3" applyNumberFormat="1" applyFont="1" applyBorder="1" applyAlignment="1">
      <alignment horizontal="center" vertical="top"/>
    </xf>
    <xf numFmtId="0" fontId="6" fillId="0" borderId="0" xfId="3" applyFont="1"/>
    <xf numFmtId="0" fontId="1" fillId="0" borderId="0" xfId="3" applyFont="1"/>
    <xf numFmtId="0" fontId="1" fillId="0" borderId="0" xfId="3" applyFont="1" applyAlignment="1">
      <alignment horizontal="center"/>
    </xf>
    <xf numFmtId="0" fontId="1" fillId="0" borderId="0" xfId="3" applyFont="1" applyAlignment="1">
      <alignment horizontal="right"/>
    </xf>
    <xf numFmtId="0" fontId="28" fillId="0" borderId="12" xfId="3" applyFont="1" applyBorder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25" fillId="0" borderId="33" xfId="3" applyBorder="1"/>
    <xf numFmtId="0" fontId="25" fillId="0" borderId="11" xfId="3" applyBorder="1"/>
    <xf numFmtId="167" fontId="5" fillId="0" borderId="38" xfId="1" applyNumberFormat="1" applyFont="1" applyBorder="1" applyAlignment="1">
      <alignment horizontal="center" vertical="center"/>
    </xf>
    <xf numFmtId="167" fontId="5" fillId="0" borderId="46" xfId="1" applyNumberFormat="1" applyFont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83" xfId="1" applyFont="1" applyFill="1" applyBorder="1" applyAlignment="1">
      <alignment horizontal="center" vertical="center"/>
    </xf>
    <xf numFmtId="0" fontId="1" fillId="0" borderId="0" xfId="1" applyProtection="1">
      <protection locked="0"/>
    </xf>
    <xf numFmtId="0" fontId="1" fillId="0" borderId="7" xfId="1" applyBorder="1" applyProtection="1">
      <protection locked="0"/>
    </xf>
    <xf numFmtId="0" fontId="1" fillId="0" borderId="71" xfId="1" applyBorder="1" applyAlignment="1" applyProtection="1">
      <alignment vertical="center"/>
      <protection locked="0"/>
    </xf>
    <xf numFmtId="0" fontId="7" fillId="0" borderId="72" xfId="1" applyFont="1" applyBorder="1" applyAlignment="1" applyProtection="1">
      <alignment vertical="center"/>
      <protection locked="0"/>
    </xf>
    <xf numFmtId="0" fontId="1" fillId="0" borderId="73" xfId="1" applyBorder="1" applyAlignment="1" applyProtection="1">
      <alignment vertical="center"/>
      <protection locked="0"/>
    </xf>
    <xf numFmtId="0" fontId="42" fillId="0" borderId="29" xfId="1" applyFont="1" applyBorder="1" applyAlignment="1" applyProtection="1">
      <alignment horizontal="center" vertical="center"/>
      <protection locked="0"/>
    </xf>
    <xf numFmtId="0" fontId="42" fillId="0" borderId="48" xfId="1" applyFont="1" applyBorder="1" applyAlignment="1" applyProtection="1">
      <alignment horizontal="center" vertical="center"/>
      <protection locked="0"/>
    </xf>
    <xf numFmtId="0" fontId="42" fillId="0" borderId="10" xfId="1" applyFont="1" applyBorder="1" applyAlignment="1" applyProtection="1">
      <alignment horizontal="center" vertical="center"/>
      <protection locked="0"/>
    </xf>
    <xf numFmtId="0" fontId="42" fillId="0" borderId="82" xfId="1" applyFont="1" applyBorder="1" applyAlignment="1" applyProtection="1">
      <alignment horizontal="center" vertical="center"/>
      <protection locked="0"/>
    </xf>
    <xf numFmtId="0" fontId="42" fillId="0" borderId="12" xfId="1" applyFont="1" applyBorder="1" applyAlignment="1" applyProtection="1">
      <alignment horizontal="center" vertical="center"/>
      <protection locked="0"/>
    </xf>
    <xf numFmtId="0" fontId="42" fillId="0" borderId="81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8" xfId="1" applyBorder="1" applyProtection="1">
      <protection locked="0"/>
    </xf>
    <xf numFmtId="0" fontId="14" fillId="0" borderId="22" xfId="1" applyFont="1" applyBorder="1" applyAlignment="1" applyProtection="1">
      <alignment vertical="center"/>
      <protection locked="0"/>
    </xf>
    <xf numFmtId="0" fontId="13" fillId="0" borderId="22" xfId="1" applyFont="1" applyBorder="1" applyAlignment="1" applyProtection="1">
      <alignment vertical="center"/>
      <protection locked="0"/>
    </xf>
    <xf numFmtId="0" fontId="7" fillId="0" borderId="22" xfId="1" applyFont="1" applyBorder="1" applyAlignment="1" applyProtection="1">
      <alignment vertical="center"/>
      <protection locked="0"/>
    </xf>
    <xf numFmtId="0" fontId="8" fillId="0" borderId="22" xfId="1" applyFont="1" applyBorder="1" applyAlignment="1" applyProtection="1">
      <alignment vertical="center"/>
      <protection locked="0"/>
    </xf>
    <xf numFmtId="0" fontId="13" fillId="0" borderId="20" xfId="1" applyFont="1" applyBorder="1" applyAlignment="1" applyProtection="1">
      <alignment vertical="center"/>
      <protection locked="0"/>
    </xf>
    <xf numFmtId="0" fontId="7" fillId="0" borderId="24" xfId="1" applyFont="1" applyBorder="1" applyAlignment="1" applyProtection="1">
      <alignment horizontal="center" vertical="center"/>
      <protection locked="0"/>
    </xf>
    <xf numFmtId="0" fontId="8" fillId="0" borderId="24" xfId="1" applyFont="1" applyBorder="1" applyAlignment="1" applyProtection="1">
      <alignment horizontal="center" vertical="center"/>
      <protection locked="0"/>
    </xf>
    <xf numFmtId="0" fontId="1" fillId="0" borderId="24" xfId="1" applyBorder="1" applyProtection="1"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1" fillId="0" borderId="24" xfId="1" applyBorder="1" applyAlignment="1" applyProtection="1">
      <alignment horizontal="center" vertical="center"/>
      <protection locked="0"/>
    </xf>
    <xf numFmtId="0" fontId="1" fillId="0" borderId="23" xfId="1" applyBorder="1" applyProtection="1">
      <protection locked="0"/>
    </xf>
    <xf numFmtId="0" fontId="49" fillId="0" borderId="0" xfId="0" applyFont="1"/>
    <xf numFmtId="0" fontId="50" fillId="0" borderId="12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51" fillId="0" borderId="10" xfId="1" applyFont="1" applyBorder="1" applyAlignment="1">
      <alignment horizontal="left" vertical="center"/>
    </xf>
    <xf numFmtId="165" fontId="53" fillId="0" borderId="71" xfId="1" applyNumberFormat="1" applyFont="1" applyBorder="1" applyAlignment="1">
      <alignment horizontal="right" vertical="center"/>
    </xf>
    <xf numFmtId="2" fontId="0" fillId="0" borderId="0" xfId="0" applyNumberFormat="1"/>
    <xf numFmtId="165" fontId="53" fillId="5" borderId="71" xfId="1" applyNumberFormat="1" applyFont="1" applyFill="1" applyBorder="1" applyAlignment="1">
      <alignment horizontal="right" vertical="center"/>
    </xf>
    <xf numFmtId="0" fontId="54" fillId="0" borderId="12" xfId="1" applyFont="1" applyBorder="1" applyAlignment="1">
      <alignment horizontal="left" vertical="center"/>
    </xf>
    <xf numFmtId="165" fontId="53" fillId="0" borderId="12" xfId="1" applyNumberFormat="1" applyFont="1" applyBorder="1" applyAlignment="1">
      <alignment horizontal="right" vertical="center"/>
    </xf>
    <xf numFmtId="165" fontId="53" fillId="5" borderId="12" xfId="1" applyNumberFormat="1" applyFont="1" applyFill="1" applyBorder="1" applyAlignment="1">
      <alignment horizontal="right" vertical="center"/>
    </xf>
    <xf numFmtId="0" fontId="57" fillId="0" borderId="0" xfId="0" applyFont="1" applyAlignment="1">
      <alignment horizontal="right" vertical="center"/>
    </xf>
    <xf numFmtId="165" fontId="0" fillId="0" borderId="0" xfId="0" applyNumberFormat="1"/>
    <xf numFmtId="167" fontId="58" fillId="0" borderId="38" xfId="1" applyNumberFormat="1" applyFont="1" applyBorder="1" applyAlignment="1">
      <alignment horizontal="right" vertical="center"/>
    </xf>
    <xf numFmtId="0" fontId="58" fillId="2" borderId="6" xfId="1" applyFont="1" applyFill="1" applyBorder="1" applyAlignment="1">
      <alignment horizontal="right" vertical="center"/>
    </xf>
    <xf numFmtId="0" fontId="59" fillId="0" borderId="0" xfId="0" applyFont="1" applyAlignment="1">
      <alignment vertical="center"/>
    </xf>
    <xf numFmtId="0" fontId="7" fillId="0" borderId="38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1" fillId="0" borderId="72" xfId="1" applyBorder="1" applyAlignment="1" applyProtection="1">
      <alignment vertical="center"/>
      <protection locked="0"/>
    </xf>
    <xf numFmtId="0" fontId="7" fillId="0" borderId="8" xfId="1" applyFont="1" applyBorder="1" applyAlignment="1" applyProtection="1">
      <alignment horizontal="right" vertical="center"/>
      <protection locked="0"/>
    </xf>
    <xf numFmtId="0" fontId="7" fillId="0" borderId="0" xfId="1" applyFont="1" applyAlignment="1" applyProtection="1">
      <alignment horizontal="right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vertical="top"/>
      <protection locked="0"/>
    </xf>
    <xf numFmtId="0" fontId="1" fillId="0" borderId="0" xfId="1" applyAlignment="1" applyProtection="1">
      <alignment horizontal="center" vertical="top"/>
      <protection locked="0"/>
    </xf>
    <xf numFmtId="0" fontId="2" fillId="0" borderId="0" xfId="1" applyFont="1" applyAlignment="1" applyProtection="1">
      <alignment horizontal="center" vertical="top"/>
      <protection locked="0"/>
    </xf>
    <xf numFmtId="0" fontId="7" fillId="0" borderId="7" xfId="1" applyFont="1" applyBorder="1" applyAlignment="1" applyProtection="1">
      <alignment vertical="center" wrapText="1"/>
      <protection locked="0"/>
    </xf>
    <xf numFmtId="0" fontId="35" fillId="3" borderId="43" xfId="1" applyFont="1" applyFill="1" applyBorder="1" applyAlignment="1" applyProtection="1">
      <alignment horizontal="center" vertical="center" wrapText="1"/>
      <protection locked="0"/>
    </xf>
    <xf numFmtId="0" fontId="7" fillId="0" borderId="8" xfId="1" applyFont="1" applyBorder="1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44" fillId="0" borderId="7" xfId="1" applyNumberFormat="1" applyFont="1" applyBorder="1" applyAlignment="1" applyProtection="1">
      <alignment vertical="center" wrapText="1"/>
      <protection locked="0"/>
    </xf>
    <xf numFmtId="165" fontId="44" fillId="0" borderId="8" xfId="1" applyNumberFormat="1" applyFont="1" applyBorder="1" applyAlignment="1" applyProtection="1">
      <alignment horizontal="center" vertical="center" wrapText="1"/>
      <protection locked="0"/>
    </xf>
    <xf numFmtId="0" fontId="1" fillId="0" borderId="0" xfId="1" applyAlignment="1" applyProtection="1">
      <alignment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2" fillId="2" borderId="33" xfId="1" applyFont="1" applyFill="1" applyBorder="1" applyAlignment="1" applyProtection="1">
      <alignment horizontal="center" vertical="center" wrapText="1"/>
      <protection locked="0"/>
    </xf>
    <xf numFmtId="0" fontId="21" fillId="2" borderId="0" xfId="1" applyFont="1" applyFill="1" applyAlignment="1" applyProtection="1">
      <alignment vertical="center" wrapText="1"/>
      <protection locked="0"/>
    </xf>
    <xf numFmtId="0" fontId="18" fillId="2" borderId="0" xfId="1" applyFont="1" applyFill="1" applyAlignment="1" applyProtection="1">
      <alignment horizontal="center" vertical="center" wrapText="1"/>
      <protection locked="0"/>
    </xf>
    <xf numFmtId="20" fontId="18" fillId="2" borderId="0" xfId="1" applyNumberFormat="1" applyFont="1" applyFill="1" applyAlignment="1" applyProtection="1">
      <alignment horizontal="center" vertical="center" wrapText="1"/>
      <protection locked="0"/>
    </xf>
    <xf numFmtId="0" fontId="18" fillId="2" borderId="0" xfId="1" applyFont="1" applyFill="1" applyAlignment="1" applyProtection="1">
      <alignment horizontal="left" vertical="center" wrapText="1"/>
      <protection locked="0"/>
    </xf>
    <xf numFmtId="0" fontId="20" fillId="2" borderId="0" xfId="1" applyFont="1" applyFill="1" applyAlignment="1" applyProtection="1">
      <alignment horizontal="center" vertical="center" wrapText="1"/>
      <protection locked="0"/>
    </xf>
    <xf numFmtId="165" fontId="20" fillId="2" borderId="0" xfId="1" applyNumberFormat="1" applyFont="1" applyFill="1" applyAlignment="1" applyProtection="1">
      <alignment horizontal="center" vertical="center" wrapText="1"/>
      <protection locked="0"/>
    </xf>
    <xf numFmtId="165" fontId="20" fillId="2" borderId="11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19" xfId="1" applyBorder="1" applyProtection="1">
      <protection locked="0"/>
    </xf>
    <xf numFmtId="0" fontId="19" fillId="2" borderId="19" xfId="1" applyFont="1" applyFill="1" applyBorder="1" applyAlignment="1" applyProtection="1">
      <alignment vertical="center" wrapText="1"/>
      <protection locked="0"/>
    </xf>
    <xf numFmtId="0" fontId="1" fillId="0" borderId="41" xfId="1" applyBorder="1" applyProtection="1">
      <protection locked="0"/>
    </xf>
    <xf numFmtId="0" fontId="43" fillId="0" borderId="14" xfId="1" applyFont="1" applyBorder="1" applyAlignment="1" applyProtection="1">
      <alignment horizontal="center" vertical="center" wrapText="1"/>
      <protection locked="0"/>
    </xf>
    <xf numFmtId="0" fontId="1" fillId="0" borderId="0" xfId="1" applyAlignment="1" applyProtection="1">
      <alignment vertical="center" wrapText="1"/>
      <protection locked="0"/>
    </xf>
    <xf numFmtId="0" fontId="2" fillId="0" borderId="0" xfId="1" applyFont="1" applyAlignment="1" applyProtection="1">
      <alignment horizontal="left"/>
      <protection locked="0"/>
    </xf>
    <xf numFmtId="0" fontId="1" fillId="0" borderId="59" xfId="1" applyBorder="1" applyAlignment="1" applyProtection="1">
      <alignment vertical="center"/>
      <protection locked="0"/>
    </xf>
    <xf numFmtId="0" fontId="1" fillId="0" borderId="60" xfId="1" applyBorder="1" applyAlignment="1" applyProtection="1">
      <alignment horizontal="left" vertical="center"/>
      <protection locked="0"/>
    </xf>
    <xf numFmtId="0" fontId="1" fillId="0" borderId="61" xfId="1" applyBorder="1" applyAlignment="1" applyProtection="1">
      <alignment horizontal="left" vertical="center"/>
      <protection locked="0"/>
    </xf>
    <xf numFmtId="0" fontId="16" fillId="0" borderId="71" xfId="1" applyFont="1" applyBorder="1" applyAlignment="1" applyProtection="1">
      <alignment vertical="center"/>
      <protection locked="0"/>
    </xf>
    <xf numFmtId="0" fontId="1" fillId="0" borderId="21" xfId="1" applyBorder="1" applyAlignment="1" applyProtection="1">
      <alignment vertical="center"/>
      <protection locked="0"/>
    </xf>
    <xf numFmtId="0" fontId="1" fillId="0" borderId="22" xfId="1" applyBorder="1" applyAlignment="1" applyProtection="1">
      <alignment horizontal="left" vertical="center"/>
      <protection locked="0"/>
    </xf>
    <xf numFmtId="0" fontId="1" fillId="0" borderId="70" xfId="1" applyBorder="1" applyAlignment="1" applyProtection="1">
      <alignment horizontal="left" vertical="center"/>
      <protection locked="0"/>
    </xf>
    <xf numFmtId="0" fontId="16" fillId="0" borderId="72" xfId="1" applyFont="1" applyBorder="1" applyAlignment="1" applyProtection="1">
      <alignment vertical="center"/>
      <protection locked="0"/>
    </xf>
    <xf numFmtId="0" fontId="2" fillId="0" borderId="22" xfId="1" applyFont="1" applyBorder="1" applyAlignment="1" applyProtection="1">
      <alignment horizontal="left" vertical="center"/>
      <protection locked="0"/>
    </xf>
    <xf numFmtId="0" fontId="2" fillId="0" borderId="70" xfId="1" applyFont="1" applyBorder="1" applyAlignment="1" applyProtection="1">
      <alignment horizontal="left" vertical="center"/>
      <protection locked="0"/>
    </xf>
    <xf numFmtId="0" fontId="1" fillId="0" borderId="63" xfId="1" applyBorder="1" applyAlignment="1" applyProtection="1">
      <alignment vertical="center"/>
      <protection locked="0"/>
    </xf>
    <xf numFmtId="0" fontId="2" fillId="0" borderId="64" xfId="1" applyFont="1" applyBorder="1" applyAlignment="1" applyProtection="1">
      <alignment horizontal="left" vertical="center"/>
      <protection locked="0"/>
    </xf>
    <xf numFmtId="0" fontId="2" fillId="0" borderId="65" xfId="1" applyFont="1" applyBorder="1" applyAlignment="1" applyProtection="1">
      <alignment horizontal="left" vertical="center"/>
      <protection locked="0"/>
    </xf>
    <xf numFmtId="0" fontId="16" fillId="0" borderId="73" xfId="1" applyFont="1" applyBorder="1" applyAlignment="1" applyProtection="1">
      <alignment vertical="center"/>
      <protection locked="0"/>
    </xf>
    <xf numFmtId="0" fontId="7" fillId="0" borderId="45" xfId="1" applyFont="1" applyBorder="1" applyAlignment="1" applyProtection="1">
      <alignment vertical="center"/>
      <protection locked="0"/>
    </xf>
    <xf numFmtId="0" fontId="8" fillId="0" borderId="32" xfId="1" applyFont="1" applyBorder="1" applyAlignment="1" applyProtection="1">
      <alignment horizontal="left" vertical="center"/>
      <protection locked="0"/>
    </xf>
    <xf numFmtId="0" fontId="2" fillId="0" borderId="32" xfId="1" applyFont="1" applyBorder="1" applyAlignment="1" applyProtection="1">
      <alignment horizontal="left" vertical="center"/>
      <protection locked="0"/>
    </xf>
    <xf numFmtId="0" fontId="1" fillId="0" borderId="32" xfId="1" applyBorder="1" applyAlignment="1" applyProtection="1">
      <alignment horizontal="center" vertical="center"/>
      <protection locked="0"/>
    </xf>
    <xf numFmtId="0" fontId="2" fillId="0" borderId="32" xfId="1" applyFont="1" applyBorder="1" applyAlignment="1" applyProtection="1">
      <alignment vertical="center"/>
      <protection locked="0"/>
    </xf>
    <xf numFmtId="0" fontId="34" fillId="0" borderId="32" xfId="1" applyFont="1" applyBorder="1" applyAlignment="1" applyProtection="1">
      <alignment vertical="center"/>
      <protection locked="0"/>
    </xf>
    <xf numFmtId="0" fontId="7" fillId="0" borderId="60" xfId="1" applyFont="1" applyBorder="1" applyAlignment="1" applyProtection="1">
      <alignment vertical="center"/>
      <protection locked="0"/>
    </xf>
    <xf numFmtId="0" fontId="7" fillId="0" borderId="61" xfId="1" applyFont="1" applyBorder="1" applyAlignment="1" applyProtection="1">
      <alignment vertical="center"/>
      <protection locked="0"/>
    </xf>
    <xf numFmtId="0" fontId="1" fillId="0" borderId="21" xfId="1" applyBorder="1" applyAlignment="1" applyProtection="1">
      <alignment horizontal="left" vertical="center"/>
      <protection locked="0"/>
    </xf>
    <xf numFmtId="0" fontId="1" fillId="0" borderId="64" xfId="1" applyBorder="1" applyAlignment="1" applyProtection="1">
      <alignment horizontal="left" vertical="center" wrapText="1"/>
      <protection locked="0"/>
    </xf>
    <xf numFmtId="0" fontId="1" fillId="0" borderId="65" xfId="1" applyBorder="1" applyAlignment="1" applyProtection="1">
      <alignment horizontal="left" vertical="center" wrapText="1"/>
      <protection locked="0"/>
    </xf>
    <xf numFmtId="0" fontId="1" fillId="0" borderId="0" xfId="1" applyAlignment="1" applyProtection="1">
      <alignment horizontal="right" vertical="center"/>
      <protection locked="0"/>
    </xf>
    <xf numFmtId="0" fontId="1" fillId="0" borderId="32" xfId="1" applyBorder="1" applyAlignment="1" applyProtection="1">
      <alignment vertical="center"/>
      <protection locked="0"/>
    </xf>
    <xf numFmtId="0" fontId="16" fillId="0" borderId="32" xfId="1" applyFont="1" applyBorder="1" applyAlignment="1" applyProtection="1">
      <alignment vertical="center"/>
      <protection locked="0"/>
    </xf>
    <xf numFmtId="0" fontId="16" fillId="0" borderId="9" xfId="1" applyFont="1" applyBorder="1" applyAlignment="1" applyProtection="1">
      <alignment vertical="center"/>
      <protection locked="0"/>
    </xf>
    <xf numFmtId="0" fontId="1" fillId="0" borderId="59" xfId="1" applyBorder="1" applyAlignment="1" applyProtection="1">
      <alignment horizontal="left" vertical="center"/>
      <protection locked="0"/>
    </xf>
    <xf numFmtId="0" fontId="7" fillId="4" borderId="38" xfId="1" applyFont="1" applyFill="1" applyBorder="1" applyAlignment="1" applyProtection="1">
      <alignment horizontal="center" vertical="center"/>
      <protection locked="0"/>
    </xf>
    <xf numFmtId="0" fontId="7" fillId="4" borderId="46" xfId="1" applyFont="1" applyFill="1" applyBorder="1" applyAlignment="1" applyProtection="1">
      <alignment horizontal="center" vertical="center"/>
      <protection locked="0"/>
    </xf>
    <xf numFmtId="0" fontId="7" fillId="0" borderId="52" xfId="1" applyFont="1" applyBorder="1" applyAlignment="1" applyProtection="1">
      <alignment horizontal="center" vertical="center"/>
      <protection locked="0"/>
    </xf>
    <xf numFmtId="9" fontId="1" fillId="0" borderId="53" xfId="1" applyNumberFormat="1" applyBorder="1" applyAlignment="1" applyProtection="1">
      <alignment horizontal="center" vertical="center"/>
      <protection locked="0"/>
    </xf>
    <xf numFmtId="9" fontId="1" fillId="0" borderId="54" xfId="1" applyNumberFormat="1" applyBorder="1" applyAlignment="1" applyProtection="1">
      <alignment horizontal="center" vertical="center"/>
      <protection locked="0"/>
    </xf>
    <xf numFmtId="0" fontId="1" fillId="0" borderId="63" xfId="1" applyBorder="1" applyAlignment="1" applyProtection="1">
      <alignment horizontal="left" vertical="center"/>
      <protection locked="0"/>
    </xf>
    <xf numFmtId="0" fontId="1" fillId="0" borderId="2" xfId="1" applyBorder="1" applyProtection="1">
      <protection locked="0"/>
    </xf>
    <xf numFmtId="0" fontId="7" fillId="0" borderId="39" xfId="1" applyFont="1" applyBorder="1" applyAlignment="1" applyProtection="1">
      <alignment horizontal="center" vertical="center"/>
      <protection locked="0"/>
    </xf>
    <xf numFmtId="9" fontId="1" fillId="0" borderId="55" xfId="1" applyNumberFormat="1" applyBorder="1" applyAlignment="1" applyProtection="1">
      <alignment horizontal="center" vertical="center"/>
      <protection locked="0"/>
    </xf>
    <xf numFmtId="9" fontId="1" fillId="0" borderId="56" xfId="1" applyNumberFormat="1" applyBorder="1" applyAlignment="1" applyProtection="1">
      <alignment horizontal="center" vertical="center"/>
      <protection locked="0"/>
    </xf>
    <xf numFmtId="10" fontId="1" fillId="0" borderId="0" xfId="1" applyNumberForma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0" fontId="40" fillId="0" borderId="29" xfId="1" applyFont="1" applyBorder="1" applyAlignment="1" applyProtection="1">
      <alignment horizontal="left" vertical="center"/>
      <protection locked="0"/>
    </xf>
    <xf numFmtId="0" fontId="1" fillId="0" borderId="60" xfId="1" applyBorder="1" applyAlignment="1" applyProtection="1">
      <alignment vertical="center"/>
      <protection locked="0"/>
    </xf>
    <xf numFmtId="0" fontId="1" fillId="0" borderId="22" xfId="1" applyBorder="1" applyAlignment="1" applyProtection="1">
      <alignment vertical="center"/>
      <protection locked="0"/>
    </xf>
    <xf numFmtId="0" fontId="7" fillId="0" borderId="70" xfId="1" applyFont="1" applyBorder="1" applyAlignment="1" applyProtection="1">
      <alignment vertical="center"/>
      <protection locked="0"/>
    </xf>
    <xf numFmtId="0" fontId="31" fillId="0" borderId="12" xfId="1" applyFont="1" applyBorder="1" applyAlignment="1" applyProtection="1">
      <alignment horizontal="left" vertical="center"/>
      <protection locked="0"/>
    </xf>
    <xf numFmtId="0" fontId="1" fillId="0" borderId="64" xfId="1" applyBorder="1" applyAlignment="1" applyProtection="1">
      <alignment horizontal="left" vertical="center"/>
      <protection locked="0"/>
    </xf>
    <xf numFmtId="0" fontId="1" fillId="0" borderId="65" xfId="1" applyBorder="1" applyAlignment="1" applyProtection="1">
      <alignment horizontal="left" vertical="center"/>
      <protection locked="0"/>
    </xf>
    <xf numFmtId="167" fontId="1" fillId="0" borderId="0" xfId="1" applyNumberFormat="1" applyProtection="1">
      <protection locked="0"/>
    </xf>
    <xf numFmtId="0" fontId="1" fillId="2" borderId="0" xfId="1" applyFill="1" applyAlignment="1" applyProtection="1">
      <alignment horizontal="center"/>
      <protection locked="0"/>
    </xf>
    <xf numFmtId="0" fontId="11" fillId="0" borderId="8" xfId="1" applyFont="1" applyBorder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0" fillId="2" borderId="0" xfId="1" applyFont="1" applyFill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left" vertical="center"/>
      <protection locked="0"/>
    </xf>
    <xf numFmtId="0" fontId="9" fillId="2" borderId="7" xfId="1" applyFont="1" applyFill="1" applyBorder="1" applyAlignment="1" applyProtection="1">
      <alignment horizontal="left" vertical="center"/>
      <protection locked="0"/>
    </xf>
    <xf numFmtId="0" fontId="7" fillId="0" borderId="43" xfId="1" applyFont="1" applyBorder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vertical="center"/>
      <protection locked="0"/>
    </xf>
    <xf numFmtId="0" fontId="7" fillId="0" borderId="67" xfId="1" applyFont="1" applyBorder="1" applyAlignment="1" applyProtection="1">
      <alignment vertical="center"/>
      <protection locked="0"/>
    </xf>
    <xf numFmtId="0" fontId="1" fillId="0" borderId="7" xfId="1" applyBorder="1" applyAlignment="1" applyProtection="1">
      <alignment vertical="center"/>
      <protection locked="0"/>
    </xf>
    <xf numFmtId="0" fontId="1" fillId="0" borderId="57" xfId="1" applyBorder="1" applyAlignment="1" applyProtection="1">
      <alignment vertical="center"/>
      <protection locked="0"/>
    </xf>
    <xf numFmtId="0" fontId="1" fillId="0" borderId="57" xfId="1" applyBorder="1" applyProtection="1">
      <protection locked="0"/>
    </xf>
    <xf numFmtId="0" fontId="5" fillId="0" borderId="57" xfId="1" applyFont="1" applyBorder="1" applyAlignment="1" applyProtection="1">
      <alignment vertical="center"/>
      <protection locked="0"/>
    </xf>
    <xf numFmtId="0" fontId="1" fillId="0" borderId="50" xfId="1" applyBorder="1" applyAlignment="1" applyProtection="1">
      <alignment vertical="center"/>
      <protection locked="0"/>
    </xf>
    <xf numFmtId="0" fontId="1" fillId="0" borderId="27" xfId="1" applyBorder="1" applyAlignment="1" applyProtection="1">
      <alignment vertical="center"/>
      <protection locked="0"/>
    </xf>
    <xf numFmtId="0" fontId="1" fillId="0" borderId="26" xfId="1" applyBorder="1" applyAlignment="1" applyProtection="1">
      <alignment vertical="center"/>
      <protection locked="0"/>
    </xf>
    <xf numFmtId="0" fontId="1" fillId="0" borderId="47" xfId="1" applyBorder="1" applyAlignment="1" applyProtection="1">
      <alignment vertical="center"/>
      <protection locked="0"/>
    </xf>
    <xf numFmtId="0" fontId="1" fillId="0" borderId="24" xfId="1" applyBorder="1" applyAlignment="1" applyProtection="1">
      <alignment vertical="center"/>
      <protection locked="0"/>
    </xf>
    <xf numFmtId="0" fontId="1" fillId="0" borderId="23" xfId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1" fillId="0" borderId="3" xfId="1" applyBorder="1" applyAlignment="1" applyProtection="1">
      <alignment vertical="center"/>
      <protection locked="0"/>
    </xf>
    <xf numFmtId="0" fontId="1" fillId="0" borderId="2" xfId="1" applyBorder="1" applyAlignment="1" applyProtection="1">
      <alignment vertical="center"/>
      <protection locked="0"/>
    </xf>
    <xf numFmtId="0" fontId="1" fillId="0" borderId="1" xfId="1" applyBorder="1" applyAlignment="1" applyProtection="1">
      <alignment vertical="center"/>
      <protection locked="0"/>
    </xf>
    <xf numFmtId="0" fontId="1" fillId="0" borderId="69" xfId="1" applyBorder="1" applyProtection="1">
      <protection locked="0"/>
    </xf>
    <xf numFmtId="0" fontId="38" fillId="0" borderId="8" xfId="1" applyFont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1" fillId="0" borderId="3" xfId="1" applyBorder="1" applyAlignment="1" applyProtection="1">
      <alignment horizontal="left" vertical="center"/>
      <protection locked="0"/>
    </xf>
    <xf numFmtId="0" fontId="1" fillId="0" borderId="2" xfId="1" applyBorder="1" applyAlignment="1" applyProtection="1">
      <alignment horizontal="center"/>
      <protection locked="0"/>
    </xf>
    <xf numFmtId="0" fontId="8" fillId="0" borderId="2" xfId="1" applyFont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vertical="center"/>
      <protection locked="0"/>
    </xf>
    <xf numFmtId="0" fontId="1" fillId="0" borderId="1" xfId="1" applyBorder="1" applyProtection="1">
      <protection locked="0"/>
    </xf>
    <xf numFmtId="0" fontId="4" fillId="0" borderId="19" xfId="1" applyFont="1" applyBorder="1" applyAlignment="1" applyProtection="1">
      <alignment vertical="center" wrapText="1" shrinkToFit="1"/>
      <protection locked="0"/>
    </xf>
    <xf numFmtId="0" fontId="4" fillId="0" borderId="19" xfId="1" applyFont="1" applyBorder="1" applyAlignment="1" applyProtection="1">
      <alignment horizontal="center" vertical="center"/>
      <protection locked="0"/>
    </xf>
    <xf numFmtId="0" fontId="4" fillId="0" borderId="19" xfId="1" applyFont="1" applyBorder="1" applyAlignment="1" applyProtection="1">
      <alignment vertical="center"/>
      <protection locked="0"/>
    </xf>
    <xf numFmtId="0" fontId="2" fillId="0" borderId="0" xfId="1" applyFont="1" applyProtection="1">
      <protection locked="0"/>
    </xf>
    <xf numFmtId="0" fontId="60" fillId="0" borderId="0" xfId="4" applyFont="1" applyAlignment="1">
      <alignment vertical="center"/>
    </xf>
    <xf numFmtId="0" fontId="1" fillId="0" borderId="0" xfId="4"/>
    <xf numFmtId="0" fontId="62" fillId="0" borderId="0" xfId="4" applyFont="1" applyAlignment="1">
      <alignment vertical="center"/>
    </xf>
    <xf numFmtId="0" fontId="63" fillId="0" borderId="0" xfId="4" applyFont="1" applyAlignment="1">
      <alignment vertical="center"/>
    </xf>
    <xf numFmtId="0" fontId="67" fillId="0" borderId="33" xfId="4" applyFont="1" applyBorder="1" applyAlignment="1">
      <alignment horizontal="center" wrapText="1"/>
    </xf>
    <xf numFmtId="0" fontId="67" fillId="6" borderId="12" xfId="4" applyFont="1" applyFill="1" applyBorder="1" applyAlignment="1">
      <alignment horizontal="center"/>
    </xf>
    <xf numFmtId="0" fontId="66" fillId="7" borderId="88" xfId="4" applyFont="1" applyFill="1" applyBorder="1" applyAlignment="1">
      <alignment horizontal="center" vertical="center" wrapText="1"/>
    </xf>
    <xf numFmtId="0" fontId="66" fillId="7" borderId="89" xfId="4" applyFont="1" applyFill="1" applyBorder="1" applyAlignment="1">
      <alignment horizontal="center" vertical="center" wrapText="1"/>
    </xf>
    <xf numFmtId="49" fontId="29" fillId="8" borderId="12" xfId="5" applyNumberFormat="1" applyFont="1" applyFill="1" applyBorder="1" applyAlignment="1">
      <alignment horizontal="center" vertical="center"/>
    </xf>
    <xf numFmtId="49" fontId="29" fillId="8" borderId="12" xfId="5" applyNumberFormat="1" applyFont="1" applyFill="1" applyBorder="1" applyAlignment="1">
      <alignment horizontal="left" vertical="center"/>
    </xf>
    <xf numFmtId="0" fontId="29" fillId="8" borderId="34" xfId="5" applyFont="1" applyFill="1" applyBorder="1" applyAlignment="1">
      <alignment vertical="center" shrinkToFit="1"/>
    </xf>
    <xf numFmtId="169" fontId="68" fillId="0" borderId="12" xfId="6" applyFont="1" applyFill="1" applyBorder="1" applyAlignment="1">
      <alignment horizontal="center" vertical="center"/>
    </xf>
    <xf numFmtId="169" fontId="68" fillId="0" borderId="12" xfId="6" quotePrefix="1" applyFont="1" applyFill="1" applyBorder="1" applyAlignment="1">
      <alignment horizontal="center" vertical="center"/>
    </xf>
    <xf numFmtId="169" fontId="68" fillId="8" borderId="12" xfId="6" applyFont="1" applyFill="1" applyBorder="1" applyAlignment="1">
      <alignment horizontal="center" vertical="center"/>
    </xf>
    <xf numFmtId="169" fontId="69" fillId="0" borderId="85" xfId="6" applyFont="1" applyBorder="1" applyAlignment="1">
      <alignment horizontal="center" vertical="center"/>
    </xf>
    <xf numFmtId="169" fontId="69" fillId="0" borderId="12" xfId="6" applyFont="1" applyBorder="1" applyAlignment="1">
      <alignment horizontal="center" vertical="center"/>
    </xf>
    <xf numFmtId="0" fontId="65" fillId="2" borderId="12" xfId="1" applyFont="1" applyFill="1" applyBorder="1" applyAlignment="1">
      <alignment horizontal="center" vertical="center"/>
    </xf>
    <xf numFmtId="169" fontId="70" fillId="0" borderId="33" xfId="6" applyFont="1" applyFill="1" applyBorder="1" applyAlignment="1">
      <alignment horizontal="center" vertical="center"/>
    </xf>
    <xf numFmtId="169" fontId="69" fillId="0" borderId="90" xfId="6" applyFont="1" applyBorder="1" applyAlignment="1">
      <alignment horizontal="center" vertical="center"/>
    </xf>
    <xf numFmtId="0" fontId="65" fillId="2" borderId="91" xfId="1" applyFont="1" applyFill="1" applyBorder="1" applyAlignment="1">
      <alignment horizontal="center" vertical="center"/>
    </xf>
    <xf numFmtId="49" fontId="29" fillId="8" borderId="12" xfId="2" applyNumberFormat="1" applyFont="1" applyFill="1" applyBorder="1" applyAlignment="1">
      <alignment horizontal="center" vertical="center"/>
    </xf>
    <xf numFmtId="49" fontId="29" fillId="8" borderId="12" xfId="2" applyNumberFormat="1" applyFont="1" applyFill="1" applyBorder="1" applyAlignment="1">
      <alignment horizontal="left" vertical="center"/>
    </xf>
    <xf numFmtId="0" fontId="29" fillId="8" borderId="84" xfId="2" applyFont="1" applyFill="1" applyBorder="1" applyAlignment="1">
      <alignment vertical="center" shrinkToFit="1"/>
    </xf>
    <xf numFmtId="0" fontId="65" fillId="2" borderId="92" xfId="1" applyFont="1" applyFill="1" applyBorder="1" applyAlignment="1">
      <alignment horizontal="center" vertical="center"/>
    </xf>
    <xf numFmtId="0" fontId="29" fillId="0" borderId="84" xfId="2" applyFont="1" applyBorder="1" applyAlignment="1">
      <alignment vertical="center" shrinkToFit="1"/>
    </xf>
    <xf numFmtId="169" fontId="1" fillId="0" borderId="0" xfId="4" applyNumberFormat="1"/>
    <xf numFmtId="0" fontId="29" fillId="0" borderId="34" xfId="2" applyFont="1" applyBorder="1" applyAlignment="1">
      <alignment vertical="center" shrinkToFit="1"/>
    </xf>
    <xf numFmtId="0" fontId="65" fillId="0" borderId="0" xfId="4" applyFont="1"/>
    <xf numFmtId="0" fontId="29" fillId="0" borderId="84" xfId="5" applyFont="1" applyBorder="1" applyAlignment="1">
      <alignment vertical="center" shrinkToFit="1"/>
    </xf>
    <xf numFmtId="0" fontId="29" fillId="8" borderId="84" xfId="5" applyFont="1" applyFill="1" applyBorder="1" applyAlignment="1">
      <alignment vertical="center" shrinkToFit="1"/>
    </xf>
    <xf numFmtId="0" fontId="29" fillId="8" borderId="12" xfId="2" applyFont="1" applyFill="1" applyBorder="1" applyAlignment="1">
      <alignment horizontal="center" vertical="center"/>
    </xf>
    <xf numFmtId="0" fontId="29" fillId="8" borderId="12" xfId="2" applyFont="1" applyFill="1" applyBorder="1" applyAlignment="1">
      <alignment horizontal="left" vertical="center"/>
    </xf>
    <xf numFmtId="169" fontId="68" fillId="0" borderId="0" xfId="6" applyFont="1" applyFill="1" applyBorder="1" applyAlignment="1">
      <alignment horizontal="center" vertical="center"/>
    </xf>
    <xf numFmtId="169" fontId="68" fillId="0" borderId="0" xfId="6" quotePrefix="1" applyFont="1" applyFill="1" applyBorder="1" applyAlignment="1">
      <alignment horizontal="center" vertical="center"/>
    </xf>
    <xf numFmtId="0" fontId="74" fillId="0" borderId="0" xfId="7" applyFont="1"/>
    <xf numFmtId="0" fontId="4" fillId="0" borderId="0" xfId="4" applyFont="1"/>
    <xf numFmtId="0" fontId="64" fillId="6" borderId="12" xfId="8" applyFont="1" applyFill="1" applyBorder="1" applyAlignment="1">
      <alignment horizontal="center" vertical="center"/>
    </xf>
    <xf numFmtId="0" fontId="64" fillId="0" borderId="12" xfId="8" applyFont="1" applyBorder="1" applyAlignment="1">
      <alignment horizontal="center"/>
    </xf>
    <xf numFmtId="0" fontId="1" fillId="0" borderId="34" xfId="4" applyBorder="1"/>
    <xf numFmtId="0" fontId="1" fillId="0" borderId="27" xfId="4" applyBorder="1"/>
    <xf numFmtId="0" fontId="1" fillId="0" borderId="35" xfId="4" applyBorder="1"/>
    <xf numFmtId="0" fontId="1" fillId="0" borderId="33" xfId="4" applyBorder="1"/>
    <xf numFmtId="0" fontId="1" fillId="0" borderId="11" xfId="4" applyBorder="1"/>
    <xf numFmtId="169" fontId="1" fillId="0" borderId="11" xfId="4" applyNumberFormat="1" applyBorder="1"/>
    <xf numFmtId="0" fontId="1" fillId="0" borderId="31" xfId="4" applyBorder="1"/>
    <xf numFmtId="0" fontId="1" fillId="0" borderId="24" xfId="4" applyBorder="1"/>
    <xf numFmtId="0" fontId="1" fillId="0" borderId="30" xfId="4" applyBorder="1"/>
    <xf numFmtId="0" fontId="1" fillId="0" borderId="24" xfId="4" quotePrefix="1" applyBorder="1"/>
    <xf numFmtId="0" fontId="0" fillId="0" borderId="24" xfId="4" applyFont="1" applyBorder="1"/>
    <xf numFmtId="0" fontId="0" fillId="0" borderId="30" xfId="4" applyFont="1" applyBorder="1"/>
    <xf numFmtId="0" fontId="28" fillId="0" borderId="0" xfId="4" applyFont="1"/>
    <xf numFmtId="0" fontId="71" fillId="0" borderId="0" xfId="4" applyFont="1"/>
    <xf numFmtId="0" fontId="67" fillId="6" borderId="85" xfId="4" applyFont="1" applyFill="1" applyBorder="1" applyAlignment="1">
      <alignment horizontal="center"/>
    </xf>
    <xf numFmtId="169" fontId="68" fillId="0" borderId="85" xfId="6" applyFont="1" applyFill="1" applyBorder="1" applyAlignment="1">
      <alignment horizontal="center" vertical="center"/>
    </xf>
    <xf numFmtId="0" fontId="77" fillId="0" borderId="12" xfId="4" applyFont="1" applyBorder="1" applyAlignment="1">
      <alignment horizontal="center" vertical="center"/>
    </xf>
    <xf numFmtId="169" fontId="69" fillId="0" borderId="94" xfId="6" applyFont="1" applyBorder="1" applyAlignment="1">
      <alignment horizontal="center" vertical="center"/>
    </xf>
    <xf numFmtId="0" fontId="77" fillId="0" borderId="92" xfId="4" applyFont="1" applyBorder="1" applyAlignment="1">
      <alignment horizontal="center" vertical="center"/>
    </xf>
    <xf numFmtId="169" fontId="69" fillId="0" borderId="92" xfId="6" applyFont="1" applyBorder="1" applyAlignment="1">
      <alignment horizontal="center" vertical="center"/>
    </xf>
    <xf numFmtId="169" fontId="68" fillId="10" borderId="12" xfId="6" applyFont="1" applyFill="1" applyBorder="1" applyAlignment="1">
      <alignment horizontal="center" vertical="center"/>
    </xf>
    <xf numFmtId="169" fontId="69" fillId="0" borderId="93" xfId="6" applyFont="1" applyBorder="1" applyAlignment="1">
      <alignment horizontal="center" vertical="center"/>
    </xf>
    <xf numFmtId="0" fontId="77" fillId="0" borderId="93" xfId="4" applyFont="1" applyBorder="1" applyAlignment="1">
      <alignment horizontal="center" vertical="center"/>
    </xf>
    <xf numFmtId="0" fontId="64" fillId="6" borderId="84" xfId="8" applyFont="1" applyFill="1" applyBorder="1" applyAlignment="1">
      <alignment horizontal="center" vertical="center"/>
    </xf>
    <xf numFmtId="0" fontId="1" fillId="9" borderId="84" xfId="4" applyFill="1" applyBorder="1"/>
    <xf numFmtId="0" fontId="1" fillId="9" borderId="32" xfId="4" applyFill="1" applyBorder="1"/>
    <xf numFmtId="0" fontId="29" fillId="11" borderId="12" xfId="0" applyFont="1" applyFill="1" applyBorder="1"/>
    <xf numFmtId="0" fontId="29" fillId="11" borderId="85" xfId="0" applyFont="1" applyFill="1" applyBorder="1"/>
    <xf numFmtId="0" fontId="29" fillId="11" borderId="29" xfId="0" applyFont="1" applyFill="1" applyBorder="1"/>
    <xf numFmtId="0" fontId="78" fillId="11" borderId="12" xfId="0" applyFont="1" applyFill="1" applyBorder="1"/>
    <xf numFmtId="0" fontId="78" fillId="11" borderId="85" xfId="0" applyFont="1" applyFill="1" applyBorder="1"/>
    <xf numFmtId="0" fontId="78" fillId="0" borderId="84" xfId="2" applyFont="1" applyBorder="1" applyAlignment="1">
      <alignment vertical="center" shrinkToFit="1"/>
    </xf>
    <xf numFmtId="0" fontId="71" fillId="8" borderId="84" xfId="2" applyFont="1" applyFill="1" applyBorder="1" applyAlignment="1">
      <alignment horizontal="left" vertical="center" shrinkToFit="1"/>
    </xf>
    <xf numFmtId="0" fontId="79" fillId="11" borderId="12" xfId="0" applyFont="1" applyFill="1" applyBorder="1"/>
    <xf numFmtId="0" fontId="79" fillId="0" borderId="84" xfId="2" applyFont="1" applyBorder="1" applyAlignment="1">
      <alignment vertical="center" shrinkToFit="1"/>
    </xf>
    <xf numFmtId="0" fontId="29" fillId="0" borderId="100" xfId="0" applyFont="1" applyBorder="1" applyAlignment="1" applyProtection="1">
      <alignment vertical="center" wrapText="1" readingOrder="1"/>
      <protection locked="0"/>
    </xf>
    <xf numFmtId="0" fontId="16" fillId="0" borderId="61" xfId="1" applyFont="1" applyBorder="1" applyAlignment="1" applyProtection="1">
      <alignment vertical="center"/>
      <protection locked="0"/>
    </xf>
    <xf numFmtId="0" fontId="29" fillId="0" borderId="102" xfId="0" applyFont="1" applyBorder="1" applyAlignment="1" applyProtection="1">
      <alignment vertical="center" wrapText="1" readingOrder="1"/>
      <protection locked="0"/>
    </xf>
    <xf numFmtId="0" fontId="16" fillId="0" borderId="70" xfId="1" applyFont="1" applyBorder="1" applyAlignment="1" applyProtection="1">
      <alignment vertical="center"/>
      <protection locked="0"/>
    </xf>
    <xf numFmtId="0" fontId="29" fillId="0" borderId="105" xfId="0" applyFont="1" applyBorder="1" applyAlignment="1" applyProtection="1">
      <alignment vertical="center" wrapText="1" readingOrder="1"/>
      <protection locked="0"/>
    </xf>
    <xf numFmtId="0" fontId="16" fillId="0" borderId="65" xfId="1" applyFont="1" applyBorder="1" applyAlignment="1" applyProtection="1">
      <alignment vertical="center"/>
      <protection locked="0"/>
    </xf>
    <xf numFmtId="0" fontId="1" fillId="0" borderId="98" xfId="1" applyBorder="1" applyAlignment="1" applyProtection="1">
      <alignment horizontal="center" vertical="center"/>
      <protection locked="0"/>
    </xf>
    <xf numFmtId="0" fontId="2" fillId="0" borderId="98" xfId="1" applyFont="1" applyBorder="1" applyAlignment="1" applyProtection="1">
      <alignment vertical="center"/>
      <protection locked="0"/>
    </xf>
    <xf numFmtId="0" fontId="29" fillId="0" borderId="111" xfId="0" applyFont="1" applyBorder="1" applyAlignment="1" applyProtection="1">
      <alignment vertical="center" wrapText="1" readingOrder="1"/>
      <protection locked="0"/>
    </xf>
    <xf numFmtId="0" fontId="29" fillId="0" borderId="113" xfId="0" applyFont="1" applyBorder="1" applyAlignment="1" applyProtection="1">
      <alignment vertical="center" wrapText="1" readingOrder="1"/>
      <protection locked="0"/>
    </xf>
    <xf numFmtId="0" fontId="29" fillId="0" borderId="116" xfId="0" applyFont="1" applyBorder="1" applyAlignment="1" applyProtection="1">
      <alignment vertical="center" wrapText="1" readingOrder="1"/>
      <protection locked="0"/>
    </xf>
    <xf numFmtId="0" fontId="1" fillId="0" borderId="117" xfId="1" applyBorder="1" applyAlignment="1" applyProtection="1">
      <alignment horizontal="right" vertical="center"/>
      <protection locked="0"/>
    </xf>
    <xf numFmtId="9" fontId="1" fillId="0" borderId="37" xfId="1" applyNumberFormat="1" applyBorder="1" applyAlignment="1" applyProtection="1">
      <alignment horizontal="center" vertical="center"/>
      <protection locked="0"/>
    </xf>
    <xf numFmtId="9" fontId="1" fillId="0" borderId="118" xfId="1" applyNumberFormat="1" applyBorder="1" applyAlignment="1" applyProtection="1">
      <alignment horizontal="center" vertical="center"/>
      <protection locked="0"/>
    </xf>
    <xf numFmtId="0" fontId="40" fillId="0" borderId="31" xfId="1" applyFont="1" applyBorder="1" applyAlignment="1" applyProtection="1">
      <alignment horizontal="left" vertical="center"/>
      <protection locked="0"/>
    </xf>
    <xf numFmtId="0" fontId="29" fillId="0" borderId="117" xfId="0" applyFont="1" applyBorder="1" applyAlignment="1" applyProtection="1">
      <alignment vertical="center" wrapText="1" readingOrder="1"/>
      <protection locked="0"/>
    </xf>
    <xf numFmtId="0" fontId="29" fillId="0" borderId="121" xfId="0" applyFont="1" applyBorder="1" applyAlignment="1" applyProtection="1">
      <alignment vertical="center" wrapText="1" readingOrder="1"/>
      <protection locked="0"/>
    </xf>
    <xf numFmtId="0" fontId="31" fillId="0" borderId="84" xfId="1" applyFont="1" applyBorder="1" applyAlignment="1" applyProtection="1">
      <alignment horizontal="left" vertical="center"/>
      <protection locked="0"/>
    </xf>
    <xf numFmtId="167" fontId="5" fillId="0" borderId="55" xfId="1" applyNumberFormat="1" applyFont="1" applyBorder="1" applyAlignment="1">
      <alignment horizontal="center" vertical="center"/>
    </xf>
    <xf numFmtId="167" fontId="5" fillId="0" borderId="56" xfId="1" applyNumberFormat="1" applyFont="1" applyBorder="1" applyAlignment="1">
      <alignment horizontal="center" vertical="center"/>
    </xf>
    <xf numFmtId="0" fontId="29" fillId="8" borderId="117" xfId="0" applyFont="1" applyFill="1" applyBorder="1" applyAlignment="1" applyProtection="1">
      <alignment vertical="center" wrapText="1" readingOrder="1"/>
      <protection locked="0"/>
    </xf>
    <xf numFmtId="0" fontId="13" fillId="0" borderId="25" xfId="1" applyFont="1" applyBorder="1" applyAlignment="1" applyProtection="1">
      <alignment horizontal="center" vertical="center"/>
      <protection locked="0"/>
    </xf>
    <xf numFmtId="0" fontId="13" fillId="0" borderId="51" xfId="1" applyFont="1" applyBorder="1" applyAlignment="1" applyProtection="1">
      <alignment horizontal="center" vertical="center"/>
      <protection locked="0"/>
    </xf>
    <xf numFmtId="0" fontId="15" fillId="2" borderId="25" xfId="1" applyFont="1" applyFill="1" applyBorder="1" applyAlignment="1" applyProtection="1">
      <alignment horizontal="left" vertical="center"/>
      <protection locked="0"/>
    </xf>
    <xf numFmtId="0" fontId="15" fillId="2" borderId="51" xfId="1" applyFont="1" applyFill="1" applyBorder="1" applyAlignment="1" applyProtection="1">
      <alignment horizontal="left" vertical="center"/>
      <protection locked="0"/>
    </xf>
    <xf numFmtId="0" fontId="80" fillId="2" borderId="25" xfId="1" applyFont="1" applyFill="1" applyBorder="1" applyAlignment="1" applyProtection="1">
      <alignment horizontal="left" vertical="center"/>
      <protection locked="0"/>
    </xf>
    <xf numFmtId="169" fontId="83" fillId="0" borderId="12" xfId="6" applyFont="1" applyFill="1" applyBorder="1" applyAlignment="1">
      <alignment horizontal="center" vertical="center"/>
    </xf>
    <xf numFmtId="169" fontId="84" fillId="0" borderId="12" xfId="6" applyFont="1" applyFill="1" applyBorder="1" applyAlignment="1">
      <alignment horizontal="center" vertical="center"/>
    </xf>
    <xf numFmtId="167" fontId="5" fillId="10" borderId="55" xfId="1" applyNumberFormat="1" applyFont="1" applyFill="1" applyBorder="1" applyAlignment="1">
      <alignment horizontal="center" vertical="center"/>
    </xf>
    <xf numFmtId="49" fontId="29" fillId="8" borderId="34" xfId="2" applyNumberFormat="1" applyFont="1" applyFill="1" applyBorder="1" applyAlignment="1">
      <alignment horizontal="left" vertical="center"/>
    </xf>
    <xf numFmtId="0" fontId="71" fillId="0" borderId="27" xfId="4" applyFont="1" applyBorder="1" applyAlignment="1">
      <alignment horizontal="center"/>
    </xf>
    <xf numFmtId="0" fontId="29" fillId="0" borderId="12" xfId="2" applyFont="1" applyBorder="1" applyAlignment="1">
      <alignment vertical="center" shrinkToFit="1"/>
    </xf>
    <xf numFmtId="0" fontId="1" fillId="0" borderId="127" xfId="4" applyBorder="1"/>
    <xf numFmtId="0" fontId="1" fillId="0" borderId="128" xfId="4" applyBorder="1"/>
    <xf numFmtId="0" fontId="1" fillId="0" borderId="129" xfId="4" applyBorder="1"/>
    <xf numFmtId="0" fontId="1" fillId="0" borderId="130" xfId="4" applyBorder="1"/>
    <xf numFmtId="0" fontId="1" fillId="0" borderId="131" xfId="4" applyBorder="1"/>
    <xf numFmtId="0" fontId="1" fillId="0" borderId="132" xfId="4" applyBorder="1"/>
    <xf numFmtId="0" fontId="1" fillId="9" borderId="133" xfId="4" applyFill="1" applyBorder="1"/>
    <xf numFmtId="0" fontId="1" fillId="9" borderId="134" xfId="4" applyFill="1" applyBorder="1"/>
    <xf numFmtId="0" fontId="1" fillId="9" borderId="135" xfId="4" applyFill="1" applyBorder="1"/>
    <xf numFmtId="10" fontId="5" fillId="0" borderId="19" xfId="1" applyNumberFormat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left" vertical="center" wrapText="1"/>
      <protection locked="0"/>
    </xf>
    <xf numFmtId="164" fontId="1" fillId="0" borderId="0" xfId="2" applyNumberFormat="1" applyAlignment="1" applyProtection="1">
      <alignment horizontal="right" vertical="center" wrapText="1"/>
      <protection locked="0"/>
    </xf>
    <xf numFmtId="0" fontId="1" fillId="0" borderId="0" xfId="2" applyAlignment="1" applyProtection="1">
      <alignment horizontal="right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" fillId="0" borderId="40" xfId="1" applyBorder="1" applyAlignment="1" applyProtection="1">
      <alignment horizontal="center" vertical="center"/>
      <protection locked="0"/>
    </xf>
    <xf numFmtId="0" fontId="1" fillId="0" borderId="19" xfId="1" applyBorder="1" applyAlignment="1" applyProtection="1">
      <alignment horizontal="center" vertical="center"/>
      <protection locked="0"/>
    </xf>
    <xf numFmtId="0" fontId="1" fillId="0" borderId="41" xfId="1" applyBorder="1" applyAlignment="1" applyProtection="1">
      <alignment horizontal="center" vertical="center"/>
      <protection locked="0"/>
    </xf>
    <xf numFmtId="0" fontId="1" fillId="0" borderId="8" xfId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horizontal="center" vertical="center"/>
      <protection locked="0"/>
    </xf>
    <xf numFmtId="0" fontId="39" fillId="0" borderId="40" xfId="1" applyFont="1" applyBorder="1" applyAlignment="1" applyProtection="1">
      <alignment horizontal="center" vertical="center"/>
      <protection locked="0"/>
    </xf>
    <xf numFmtId="0" fontId="39" fillId="0" borderId="19" xfId="1" applyFont="1" applyBorder="1" applyAlignment="1" applyProtection="1">
      <alignment horizontal="center" vertical="center"/>
      <protection locked="0"/>
    </xf>
    <xf numFmtId="0" fontId="39" fillId="0" borderId="41" xfId="1" applyFont="1" applyBorder="1" applyAlignment="1" applyProtection="1">
      <alignment horizontal="center" vertical="center"/>
      <protection locked="0"/>
    </xf>
    <xf numFmtId="0" fontId="39" fillId="0" borderId="8" xfId="1" applyFont="1" applyBorder="1" applyAlignment="1" applyProtection="1">
      <alignment horizontal="center" vertical="center"/>
      <protection locked="0"/>
    </xf>
    <xf numFmtId="0" fontId="39" fillId="0" borderId="0" xfId="1" applyFont="1" applyAlignment="1" applyProtection="1">
      <alignment horizontal="center" vertical="center"/>
      <protection locked="0"/>
    </xf>
    <xf numFmtId="0" fontId="39" fillId="0" borderId="7" xfId="1" applyFont="1" applyBorder="1" applyAlignment="1" applyProtection="1">
      <alignment horizontal="center" vertical="center"/>
      <protection locked="0"/>
    </xf>
    <xf numFmtId="0" fontId="39" fillId="0" borderId="3" xfId="1" applyFont="1" applyBorder="1" applyAlignment="1" applyProtection="1">
      <alignment horizontal="center" vertical="center"/>
      <protection locked="0"/>
    </xf>
    <xf numFmtId="0" fontId="39" fillId="0" borderId="2" xfId="1" applyFont="1" applyBorder="1" applyAlignment="1" applyProtection="1">
      <alignment horizontal="center" vertical="center"/>
      <protection locked="0"/>
    </xf>
    <xf numFmtId="0" fontId="39" fillId="0" borderId="1" xfId="1" applyFont="1" applyBorder="1" applyAlignment="1" applyProtection="1">
      <alignment horizontal="center" vertical="center"/>
      <protection locked="0"/>
    </xf>
    <xf numFmtId="0" fontId="46" fillId="0" borderId="50" xfId="1" applyFont="1" applyBorder="1" applyAlignment="1" applyProtection="1">
      <alignment horizontal="center" vertical="center"/>
      <protection locked="0"/>
    </xf>
    <xf numFmtId="0" fontId="46" fillId="0" borderId="26" xfId="1" applyFont="1" applyBorder="1" applyAlignment="1" applyProtection="1">
      <alignment horizontal="center" vertical="center"/>
      <protection locked="0"/>
    </xf>
    <xf numFmtId="0" fontId="46" fillId="0" borderId="47" xfId="1" applyFont="1" applyBorder="1" applyAlignment="1" applyProtection="1">
      <alignment horizontal="center" vertical="center"/>
      <protection locked="0"/>
    </xf>
    <xf numFmtId="0" fontId="46" fillId="0" borderId="23" xfId="1" applyFont="1" applyBorder="1" applyAlignment="1" applyProtection="1">
      <alignment horizontal="center" vertical="center"/>
      <protection locked="0"/>
    </xf>
    <xf numFmtId="0" fontId="7" fillId="0" borderId="66" xfId="1" applyFont="1" applyBorder="1" applyAlignment="1" applyProtection="1">
      <alignment horizontal="center" vertical="center"/>
      <protection locked="0"/>
    </xf>
    <xf numFmtId="0" fontId="7" fillId="0" borderId="68" xfId="1" applyFont="1" applyBorder="1" applyAlignment="1" applyProtection="1">
      <alignment horizontal="center" vertical="center"/>
      <protection locked="0"/>
    </xf>
    <xf numFmtId="0" fontId="7" fillId="0" borderId="50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 applyProtection="1">
      <alignment horizontal="center" vertical="center"/>
      <protection locked="0"/>
    </xf>
    <xf numFmtId="0" fontId="7" fillId="0" borderId="3" xfId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69" xfId="1" applyFont="1" applyBorder="1" applyAlignment="1" applyProtection="1">
      <alignment horizontal="center" vertical="center"/>
      <protection locked="0"/>
    </xf>
    <xf numFmtId="0" fontId="1" fillId="0" borderId="50" xfId="1" applyBorder="1" applyAlignment="1" applyProtection="1">
      <alignment horizontal="left" vertical="center"/>
      <protection locked="0"/>
    </xf>
    <xf numFmtId="0" fontId="1" fillId="0" borderId="27" xfId="1" applyBorder="1" applyAlignment="1" applyProtection="1">
      <alignment horizontal="left" vertical="center"/>
      <protection locked="0"/>
    </xf>
    <xf numFmtId="0" fontId="1" fillId="0" borderId="26" xfId="1" applyBorder="1" applyAlignment="1" applyProtection="1">
      <alignment horizontal="left" vertical="center"/>
      <protection locked="0"/>
    </xf>
    <xf numFmtId="0" fontId="1" fillId="0" borderId="47" xfId="1" applyBorder="1" applyAlignment="1" applyProtection="1">
      <alignment horizontal="left" vertical="center"/>
      <protection locked="0"/>
    </xf>
    <xf numFmtId="0" fontId="1" fillId="0" borderId="24" xfId="1" applyBorder="1" applyAlignment="1" applyProtection="1">
      <alignment horizontal="left" vertical="center"/>
      <protection locked="0"/>
    </xf>
    <xf numFmtId="0" fontId="1" fillId="0" borderId="23" xfId="1" applyBorder="1" applyAlignment="1" applyProtection="1">
      <alignment horizontal="left" vertical="center"/>
      <protection locked="0"/>
    </xf>
    <xf numFmtId="0" fontId="7" fillId="2" borderId="67" xfId="1" applyFont="1" applyFill="1" applyBorder="1" applyAlignment="1" applyProtection="1">
      <alignment horizontal="center" vertical="center"/>
      <protection locked="0"/>
    </xf>
    <xf numFmtId="0" fontId="7" fillId="2" borderId="68" xfId="1" applyFont="1" applyFill="1" applyBorder="1" applyAlignment="1" applyProtection="1">
      <alignment horizontal="center" vertical="center"/>
      <protection locked="0"/>
    </xf>
    <xf numFmtId="0" fontId="7" fillId="0" borderId="67" xfId="1" applyFont="1" applyBorder="1" applyAlignment="1" applyProtection="1">
      <alignment horizontal="center" vertical="center"/>
      <protection locked="0"/>
    </xf>
    <xf numFmtId="0" fontId="1" fillId="0" borderId="40" xfId="1" applyBorder="1" applyAlignment="1" applyProtection="1">
      <alignment horizontal="left" vertical="center"/>
      <protection locked="0"/>
    </xf>
    <xf numFmtId="0" fontId="1" fillId="0" borderId="19" xfId="1" applyBorder="1" applyAlignment="1" applyProtection="1">
      <alignment horizontal="left" vertical="center"/>
      <protection locked="0"/>
    </xf>
    <xf numFmtId="0" fontId="1" fillId="0" borderId="41" xfId="1" applyBorder="1" applyAlignment="1" applyProtection="1">
      <alignment horizontal="left" vertical="center"/>
      <protection locked="0"/>
    </xf>
    <xf numFmtId="0" fontId="35" fillId="0" borderId="40" xfId="1" applyFont="1" applyBorder="1" applyAlignment="1" applyProtection="1">
      <alignment horizontal="center" vertical="center"/>
      <protection locked="0"/>
    </xf>
    <xf numFmtId="0" fontId="35" fillId="0" borderId="19" xfId="1" applyFont="1" applyBorder="1" applyAlignment="1" applyProtection="1">
      <alignment horizontal="center" vertical="center"/>
      <protection locked="0"/>
    </xf>
    <xf numFmtId="0" fontId="35" fillId="0" borderId="3" xfId="1" applyFont="1" applyBorder="1" applyAlignment="1" applyProtection="1">
      <alignment horizontal="center" vertical="center"/>
      <protection locked="0"/>
    </xf>
    <xf numFmtId="0" fontId="35" fillId="0" borderId="2" xfId="1" applyFont="1" applyBorder="1" applyAlignment="1" applyProtection="1">
      <alignment horizontal="center" vertical="center"/>
      <protection locked="0"/>
    </xf>
    <xf numFmtId="0" fontId="35" fillId="0" borderId="41" xfId="1" applyFont="1" applyBorder="1" applyAlignment="1" applyProtection="1">
      <alignment horizontal="center" vertical="center"/>
      <protection locked="0"/>
    </xf>
    <xf numFmtId="0" fontId="35" fillId="0" borderId="1" xfId="1" applyFont="1" applyBorder="1" applyAlignment="1" applyProtection="1">
      <alignment horizontal="center" vertical="center"/>
      <protection locked="0"/>
    </xf>
    <xf numFmtId="0" fontId="13" fillId="0" borderId="25" xfId="1" applyFont="1" applyBorder="1" applyAlignment="1" applyProtection="1">
      <alignment horizontal="center" vertical="center"/>
      <protection locked="0"/>
    </xf>
    <xf numFmtId="0" fontId="13" fillId="0" borderId="51" xfId="1" applyFont="1" applyBorder="1" applyAlignment="1" applyProtection="1">
      <alignment horizontal="center" vertical="center"/>
      <protection locked="0"/>
    </xf>
    <xf numFmtId="0" fontId="7" fillId="0" borderId="8" xfId="1" applyFont="1" applyBorder="1" applyAlignment="1" applyProtection="1">
      <alignment horizontal="right" vertical="center"/>
      <protection locked="0"/>
    </xf>
    <xf numFmtId="0" fontId="7" fillId="0" borderId="0" xfId="1" applyFont="1" applyAlignment="1" applyProtection="1">
      <alignment horizontal="right" vertical="center"/>
      <protection locked="0"/>
    </xf>
    <xf numFmtId="0" fontId="80" fillId="2" borderId="25" xfId="1" applyFont="1" applyFill="1" applyBorder="1" applyAlignment="1" applyProtection="1">
      <alignment horizontal="left" vertical="center"/>
      <protection locked="0"/>
    </xf>
    <xf numFmtId="0" fontId="80" fillId="2" borderId="51" xfId="1" applyFont="1" applyFill="1" applyBorder="1" applyAlignment="1" applyProtection="1">
      <alignment horizontal="left" vertical="center"/>
      <protection locked="0"/>
    </xf>
    <xf numFmtId="0" fontId="12" fillId="0" borderId="47" xfId="1" applyFont="1" applyBorder="1" applyAlignment="1" applyProtection="1">
      <alignment horizontal="center" vertical="center"/>
      <protection locked="0"/>
    </xf>
    <xf numFmtId="0" fontId="12" fillId="0" borderId="24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16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40" xfId="1" applyFont="1" applyBorder="1" applyAlignment="1" applyProtection="1">
      <alignment horizontal="center" vertical="center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41" xfId="1" applyFont="1" applyBorder="1" applyAlignment="1" applyProtection="1">
      <alignment horizontal="center" vertical="center"/>
      <protection locked="0"/>
    </xf>
    <xf numFmtId="0" fontId="7" fillId="0" borderId="8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0" borderId="47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1" fillId="0" borderId="124" xfId="1" applyBorder="1" applyAlignment="1" applyProtection="1">
      <alignment horizontal="right" vertical="center"/>
      <protection locked="0"/>
    </xf>
    <xf numFmtId="0" fontId="1" fillId="0" borderId="125" xfId="1" applyBorder="1" applyAlignment="1" applyProtection="1">
      <alignment horizontal="right" vertical="center"/>
      <protection locked="0"/>
    </xf>
    <xf numFmtId="0" fontId="7" fillId="0" borderId="49" xfId="1" applyFont="1" applyBorder="1" applyAlignment="1" applyProtection="1">
      <alignment horizontal="right" vertical="center"/>
      <protection locked="0"/>
    </xf>
    <xf numFmtId="0" fontId="7" fillId="0" borderId="28" xfId="1" applyFont="1" applyBorder="1" applyAlignment="1" applyProtection="1">
      <alignment horizontal="right" vertical="center"/>
      <protection locked="0"/>
    </xf>
    <xf numFmtId="0" fontId="7" fillId="0" borderId="42" xfId="1" applyFont="1" applyBorder="1" applyAlignment="1" applyProtection="1">
      <alignment horizontal="right" vertical="center"/>
      <protection locked="0"/>
    </xf>
    <xf numFmtId="0" fontId="35" fillId="4" borderId="5" xfId="1" applyFont="1" applyFill="1" applyBorder="1" applyAlignment="1" applyProtection="1">
      <alignment horizontal="center" vertical="center" wrapText="1"/>
      <protection locked="0"/>
    </xf>
    <xf numFmtId="0" fontId="35" fillId="4" borderId="28" xfId="1" applyFont="1" applyFill="1" applyBorder="1" applyAlignment="1" applyProtection="1">
      <alignment horizontal="center" vertical="center" wrapText="1"/>
      <protection locked="0"/>
    </xf>
    <xf numFmtId="0" fontId="35" fillId="4" borderId="2" xfId="1" applyFont="1" applyFill="1" applyBorder="1" applyAlignment="1" applyProtection="1">
      <alignment horizontal="center" vertical="center" wrapText="1"/>
      <protection locked="0"/>
    </xf>
    <xf numFmtId="0" fontId="35" fillId="4" borderId="4" xfId="1" applyFont="1" applyFill="1" applyBorder="1" applyAlignment="1" applyProtection="1">
      <alignment horizontal="center" vertical="center" wrapText="1"/>
      <protection locked="0"/>
    </xf>
    <xf numFmtId="0" fontId="12" fillId="0" borderId="50" xfId="1" applyFont="1" applyBorder="1" applyAlignment="1" applyProtection="1">
      <alignment horizontal="left" vertical="center"/>
      <protection locked="0"/>
    </xf>
    <xf numFmtId="0" fontId="12" fillId="0" borderId="27" xfId="1" applyFont="1" applyBorder="1" applyAlignment="1" applyProtection="1">
      <alignment horizontal="left" vertical="center"/>
      <protection locked="0"/>
    </xf>
    <xf numFmtId="0" fontId="15" fillId="2" borderId="25" xfId="1" applyFont="1" applyFill="1" applyBorder="1" applyAlignment="1" applyProtection="1">
      <alignment horizontal="left" vertical="center"/>
      <protection locked="0"/>
    </xf>
    <xf numFmtId="0" fontId="15" fillId="2" borderId="51" xfId="1" applyFont="1" applyFill="1" applyBorder="1" applyAlignment="1" applyProtection="1">
      <alignment horizontal="left" vertical="center"/>
      <protection locked="0"/>
    </xf>
    <xf numFmtId="0" fontId="1" fillId="0" borderId="62" xfId="1" applyBorder="1" applyAlignment="1" applyProtection="1">
      <alignment horizontal="center" vertical="center"/>
      <protection locked="0"/>
    </xf>
    <xf numFmtId="0" fontId="1" fillId="0" borderId="65" xfId="1" applyBorder="1" applyAlignment="1" applyProtection="1">
      <alignment horizontal="center" vertical="center"/>
      <protection locked="0"/>
    </xf>
    <xf numFmtId="0" fontId="1" fillId="0" borderId="62" xfId="1" applyBorder="1" applyAlignment="1" applyProtection="1">
      <alignment horizontal="right" vertical="center"/>
      <protection locked="0"/>
    </xf>
    <xf numFmtId="0" fontId="1" fillId="0" borderId="65" xfId="1" applyBorder="1" applyAlignment="1" applyProtection="1">
      <alignment horizontal="right" vertical="center"/>
      <protection locked="0"/>
    </xf>
    <xf numFmtId="0" fontId="7" fillId="0" borderId="45" xfId="1" applyFont="1" applyBorder="1" applyAlignment="1" applyProtection="1">
      <alignment horizontal="left" vertical="center"/>
      <protection locked="0"/>
    </xf>
    <xf numFmtId="0" fontId="7" fillId="0" borderId="32" xfId="1" applyFont="1" applyBorder="1" applyAlignment="1" applyProtection="1">
      <alignment horizontal="left" vertical="center"/>
      <protection locked="0"/>
    </xf>
    <xf numFmtId="0" fontId="7" fillId="0" borderId="27" xfId="1" applyFont="1" applyBorder="1" applyAlignment="1" applyProtection="1">
      <alignment horizontal="left" vertical="center"/>
      <protection locked="0"/>
    </xf>
    <xf numFmtId="0" fontId="7" fillId="0" borderId="9" xfId="1" applyFont="1" applyBorder="1" applyAlignment="1" applyProtection="1">
      <alignment horizontal="left" vertical="center"/>
      <protection locked="0"/>
    </xf>
    <xf numFmtId="0" fontId="1" fillId="0" borderId="10" xfId="1" applyBorder="1" applyAlignment="1" applyProtection="1">
      <alignment horizontal="center" vertical="center"/>
      <protection locked="0"/>
    </xf>
    <xf numFmtId="0" fontId="1" fillId="0" borderId="37" xfId="1" applyBorder="1" applyAlignment="1" applyProtection="1">
      <alignment horizontal="center" vertical="center"/>
      <protection locked="0"/>
    </xf>
    <xf numFmtId="0" fontId="1" fillId="0" borderId="29" xfId="1" applyBorder="1" applyAlignment="1" applyProtection="1">
      <alignment horizontal="center" vertical="center"/>
      <protection locked="0"/>
    </xf>
    <xf numFmtId="0" fontId="1" fillId="0" borderId="58" xfId="1" applyBorder="1" applyAlignment="1" applyProtection="1">
      <alignment horizontal="center" vertical="center"/>
      <protection locked="0"/>
    </xf>
    <xf numFmtId="0" fontId="1" fillId="0" borderId="60" xfId="1" applyBorder="1" applyAlignment="1" applyProtection="1">
      <alignment horizontal="center" vertical="center"/>
      <protection locked="0"/>
    </xf>
    <xf numFmtId="0" fontId="1" fillId="0" borderId="119" xfId="1" applyBorder="1" applyAlignment="1" applyProtection="1">
      <alignment horizontal="right" vertical="center"/>
      <protection locked="0"/>
    </xf>
    <xf numFmtId="0" fontId="1" fillId="0" borderId="120" xfId="1" applyBorder="1" applyAlignment="1" applyProtection="1">
      <alignment horizontal="right" vertical="center"/>
      <protection locked="0"/>
    </xf>
    <xf numFmtId="0" fontId="16" fillId="0" borderId="34" xfId="1" applyFont="1" applyBorder="1" applyAlignment="1" applyProtection="1">
      <alignment horizontal="center" vertical="center"/>
      <protection locked="0"/>
    </xf>
    <xf numFmtId="0" fontId="16" fillId="0" borderId="26" xfId="1" applyFont="1" applyBorder="1" applyAlignment="1" applyProtection="1">
      <alignment horizontal="center" vertical="center"/>
      <protection locked="0"/>
    </xf>
    <xf numFmtId="0" fontId="16" fillId="0" borderId="33" xfId="1" applyFont="1" applyBorder="1" applyAlignment="1" applyProtection="1">
      <alignment horizontal="center" vertical="center"/>
      <protection locked="0"/>
    </xf>
    <xf numFmtId="0" fontId="16" fillId="0" borderId="7" xfId="1" applyFont="1" applyBorder="1" applyAlignment="1" applyProtection="1">
      <alignment horizontal="center" vertical="center"/>
      <protection locked="0"/>
    </xf>
    <xf numFmtId="0" fontId="16" fillId="0" borderId="31" xfId="1" applyFont="1" applyBorder="1" applyAlignment="1" applyProtection="1">
      <alignment horizontal="center" vertical="center"/>
      <protection locked="0"/>
    </xf>
    <xf numFmtId="0" fontId="16" fillId="0" borderId="23" xfId="1" applyFont="1" applyBorder="1" applyAlignment="1" applyProtection="1">
      <alignment horizontal="center" vertical="center"/>
      <protection locked="0"/>
    </xf>
    <xf numFmtId="0" fontId="1" fillId="0" borderId="74" xfId="1" applyBorder="1" applyAlignment="1" applyProtection="1">
      <alignment horizontal="center" vertical="center"/>
      <protection locked="0"/>
    </xf>
    <xf numFmtId="0" fontId="1" fillId="0" borderId="22" xfId="1" applyBorder="1" applyAlignment="1" applyProtection="1">
      <alignment horizontal="center" vertical="center"/>
      <protection locked="0"/>
    </xf>
    <xf numFmtId="0" fontId="1" fillId="0" borderId="122" xfId="1" applyBorder="1" applyAlignment="1" applyProtection="1">
      <alignment horizontal="right" vertical="center"/>
      <protection locked="0"/>
    </xf>
    <xf numFmtId="0" fontId="1" fillId="0" borderId="123" xfId="1" applyBorder="1" applyAlignment="1" applyProtection="1">
      <alignment horizontal="right" vertical="center"/>
      <protection locked="0"/>
    </xf>
    <xf numFmtId="0" fontId="1" fillId="0" borderId="64" xfId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1" fillId="0" borderId="21" xfId="1" applyBorder="1" applyAlignment="1" applyProtection="1">
      <alignment horizontal="left" vertical="center" wrapText="1"/>
      <protection locked="0"/>
    </xf>
    <xf numFmtId="0" fontId="1" fillId="0" borderId="22" xfId="1" applyBorder="1" applyAlignment="1" applyProtection="1">
      <alignment horizontal="left" vertical="center"/>
      <protection locked="0"/>
    </xf>
    <xf numFmtId="0" fontId="1" fillId="0" borderId="70" xfId="1" applyBorder="1" applyAlignment="1" applyProtection="1">
      <alignment horizontal="left" vertical="center"/>
      <protection locked="0"/>
    </xf>
    <xf numFmtId="0" fontId="1" fillId="0" borderId="70" xfId="1" applyBorder="1" applyAlignment="1" applyProtection="1">
      <alignment horizontal="center" vertical="center"/>
      <protection locked="0"/>
    </xf>
    <xf numFmtId="0" fontId="1" fillId="0" borderId="74" xfId="1" applyBorder="1" applyAlignment="1" applyProtection="1">
      <alignment horizontal="right" vertical="center"/>
      <protection locked="0"/>
    </xf>
    <xf numFmtId="0" fontId="1" fillId="0" borderId="70" xfId="1" applyBorder="1" applyAlignment="1" applyProtection="1">
      <alignment horizontal="right" vertical="center"/>
      <protection locked="0"/>
    </xf>
    <xf numFmtId="0" fontId="1" fillId="0" borderId="63" xfId="1" applyBorder="1" applyAlignment="1" applyProtection="1">
      <alignment horizontal="left" vertical="center" wrapText="1"/>
      <protection locked="0"/>
    </xf>
    <xf numFmtId="0" fontId="1" fillId="0" borderId="64" xfId="1" applyBorder="1" applyAlignment="1" applyProtection="1">
      <alignment horizontal="left" vertical="center" wrapText="1"/>
      <protection locked="0"/>
    </xf>
    <xf numFmtId="0" fontId="1" fillId="0" borderId="65" xfId="1" applyBorder="1" applyAlignment="1" applyProtection="1">
      <alignment horizontal="left" vertical="center" wrapText="1"/>
      <protection locked="0"/>
    </xf>
    <xf numFmtId="0" fontId="1" fillId="0" borderId="73" xfId="1" applyBorder="1" applyAlignment="1" applyProtection="1">
      <alignment horizontal="center" vertical="center"/>
      <protection locked="0"/>
    </xf>
    <xf numFmtId="0" fontId="1" fillId="0" borderId="114" xfId="1" applyBorder="1" applyAlignment="1" applyProtection="1">
      <alignment horizontal="right" vertical="center"/>
      <protection locked="0"/>
    </xf>
    <xf numFmtId="0" fontId="1" fillId="0" borderId="115" xfId="1" applyBorder="1" applyAlignment="1" applyProtection="1">
      <alignment horizontal="right" vertical="center"/>
      <protection locked="0"/>
    </xf>
    <xf numFmtId="0" fontId="7" fillId="0" borderId="45" xfId="1" applyFont="1" applyBorder="1" applyAlignment="1" applyProtection="1">
      <alignment vertical="center"/>
      <protection locked="0"/>
    </xf>
    <xf numFmtId="0" fontId="7" fillId="0" borderId="32" xfId="1" applyFont="1" applyBorder="1" applyAlignment="1" applyProtection="1">
      <alignment vertical="center"/>
      <protection locked="0"/>
    </xf>
    <xf numFmtId="0" fontId="1" fillId="0" borderId="11" xfId="1" applyBorder="1" applyAlignment="1" applyProtection="1">
      <alignment horizontal="center" vertical="center"/>
      <protection locked="0"/>
    </xf>
    <xf numFmtId="0" fontId="1" fillId="0" borderId="30" xfId="1" applyBorder="1" applyAlignment="1" applyProtection="1">
      <alignment horizontal="center" vertical="center"/>
      <protection locked="0"/>
    </xf>
    <xf numFmtId="0" fontId="1" fillId="0" borderId="61" xfId="1" applyBorder="1" applyAlignment="1" applyProtection="1">
      <alignment horizontal="center" vertical="center"/>
      <protection locked="0"/>
    </xf>
    <xf numFmtId="0" fontId="1" fillId="0" borderId="58" xfId="1" applyBorder="1" applyAlignment="1" applyProtection="1">
      <alignment horizontal="right" vertical="center"/>
      <protection locked="0"/>
    </xf>
    <xf numFmtId="0" fontId="1" fillId="0" borderId="61" xfId="1" applyBorder="1" applyAlignment="1" applyProtection="1">
      <alignment horizontal="right" vertical="center"/>
      <protection locked="0"/>
    </xf>
    <xf numFmtId="0" fontId="1" fillId="0" borderId="103" xfId="1" applyBorder="1" applyAlignment="1" applyProtection="1">
      <alignment horizontal="right" vertical="center"/>
      <protection locked="0"/>
    </xf>
    <xf numFmtId="0" fontId="1" fillId="0" borderId="104" xfId="1" applyBorder="1" applyAlignment="1" applyProtection="1">
      <alignment horizontal="right" vertical="center"/>
      <protection locked="0"/>
    </xf>
    <xf numFmtId="0" fontId="2" fillId="0" borderId="98" xfId="1" applyFont="1" applyBorder="1" applyAlignment="1" applyProtection="1">
      <alignment horizontal="center" vertical="center" shrinkToFit="1"/>
      <protection locked="0"/>
    </xf>
    <xf numFmtId="0" fontId="2" fillId="0" borderId="106" xfId="1" applyFont="1" applyBorder="1" applyAlignment="1" applyProtection="1">
      <alignment horizontal="center" vertical="center" shrinkToFit="1"/>
      <protection locked="0"/>
    </xf>
    <xf numFmtId="0" fontId="2" fillId="0" borderId="32" xfId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 applyProtection="1">
      <alignment horizontal="center" vertical="center"/>
      <protection locked="0"/>
    </xf>
    <xf numFmtId="0" fontId="1" fillId="0" borderId="33" xfId="1" applyBorder="1" applyAlignment="1" applyProtection="1">
      <alignment horizontal="center" vertical="center"/>
      <protection locked="0"/>
    </xf>
    <xf numFmtId="0" fontId="1" fillId="0" borderId="107" xfId="1" applyBorder="1" applyAlignment="1" applyProtection="1">
      <alignment horizontal="center" vertical="center"/>
      <protection locked="0"/>
    </xf>
    <xf numFmtId="0" fontId="1" fillId="0" borderId="108" xfId="1" applyBorder="1" applyAlignment="1" applyProtection="1">
      <alignment horizontal="center" vertical="center"/>
      <protection locked="0"/>
    </xf>
    <xf numFmtId="0" fontId="1" fillId="0" borderId="109" xfId="1" applyBorder="1" applyAlignment="1" applyProtection="1">
      <alignment horizontal="right" vertical="center"/>
      <protection locked="0"/>
    </xf>
    <xf numFmtId="0" fontId="1" fillId="0" borderId="110" xfId="1" applyBorder="1" applyAlignment="1" applyProtection="1">
      <alignment horizontal="right" vertical="center"/>
      <protection locked="0"/>
    </xf>
    <xf numFmtId="0" fontId="1" fillId="0" borderId="72" xfId="1" applyBorder="1" applyAlignment="1" applyProtection="1">
      <alignment horizontal="center" vertical="center"/>
      <protection locked="0"/>
    </xf>
    <xf numFmtId="0" fontId="1" fillId="0" borderId="112" xfId="1" applyBorder="1" applyAlignment="1" applyProtection="1">
      <alignment horizontal="right" vertical="center"/>
      <protection locked="0"/>
    </xf>
    <xf numFmtId="0" fontId="1" fillId="0" borderId="101" xfId="1" applyBorder="1" applyAlignment="1" applyProtection="1">
      <alignment horizontal="right" vertical="center"/>
      <protection locked="0"/>
    </xf>
    <xf numFmtId="0" fontId="1" fillId="0" borderId="72" xfId="1" applyBorder="1" applyAlignment="1" applyProtection="1">
      <alignment horizontal="right" vertical="center"/>
      <protection locked="0"/>
    </xf>
    <xf numFmtId="0" fontId="1" fillId="0" borderId="8" xfId="1" applyBorder="1" applyAlignment="1" applyProtection="1">
      <alignment horizontal="center"/>
      <protection locked="0"/>
    </xf>
    <xf numFmtId="0" fontId="1" fillId="0" borderId="0" xfId="1" applyAlignment="1" applyProtection="1">
      <alignment horizontal="center"/>
      <protection locked="0"/>
    </xf>
    <xf numFmtId="0" fontId="17" fillId="2" borderId="0" xfId="1" applyFont="1" applyFill="1" applyAlignment="1" applyProtection="1">
      <alignment horizontal="left" vertical="center" wrapText="1"/>
      <protection locked="0"/>
    </xf>
    <xf numFmtId="0" fontId="17" fillId="2" borderId="7" xfId="1" applyFont="1" applyFill="1" applyBorder="1" applyAlignment="1" applyProtection="1">
      <alignment horizontal="left" vertical="center" wrapText="1"/>
      <protection locked="0"/>
    </xf>
    <xf numFmtId="0" fontId="1" fillId="0" borderId="34" xfId="1" applyBorder="1" applyAlignment="1" applyProtection="1">
      <alignment horizontal="center" vertical="center"/>
      <protection locked="0"/>
    </xf>
    <xf numFmtId="0" fontId="1" fillId="0" borderId="71" xfId="1" applyBorder="1" applyAlignment="1" applyProtection="1">
      <alignment horizontal="center" vertical="center"/>
      <protection locked="0"/>
    </xf>
    <xf numFmtId="0" fontId="1" fillId="0" borderId="71" xfId="1" applyBorder="1" applyAlignment="1" applyProtection="1">
      <alignment horizontal="right" vertical="center"/>
      <protection locked="0"/>
    </xf>
    <xf numFmtId="0" fontId="1" fillId="0" borderId="99" xfId="1" applyBorder="1" applyAlignment="1" applyProtection="1">
      <alignment horizontal="right" vertical="center"/>
      <protection locked="0"/>
    </xf>
    <xf numFmtId="0" fontId="1" fillId="0" borderId="72" xfId="1" applyBorder="1" applyAlignment="1" applyProtection="1">
      <alignment vertical="center"/>
      <protection locked="0"/>
    </xf>
    <xf numFmtId="0" fontId="1" fillId="0" borderId="101" xfId="1" applyBorder="1" applyAlignment="1" applyProtection="1">
      <alignment vertical="center"/>
      <protection locked="0"/>
    </xf>
    <xf numFmtId="0" fontId="1" fillId="0" borderId="103" xfId="1" applyBorder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left" vertical="center" wrapText="1"/>
      <protection locked="0"/>
    </xf>
    <xf numFmtId="0" fontId="7" fillId="3" borderId="18" xfId="1" applyFont="1" applyFill="1" applyBorder="1" applyAlignment="1" applyProtection="1">
      <alignment horizontal="center" vertical="center"/>
      <protection locked="0"/>
    </xf>
    <xf numFmtId="0" fontId="7" fillId="3" borderId="17" xfId="1" applyFont="1" applyFill="1" applyBorder="1" applyAlignment="1" applyProtection="1">
      <alignment horizontal="center" vertical="center"/>
      <protection locked="0"/>
    </xf>
    <xf numFmtId="0" fontId="7" fillId="3" borderId="16" xfId="1" applyFont="1" applyFill="1" applyBorder="1" applyAlignment="1" applyProtection="1">
      <alignment horizontal="center" vertical="center"/>
      <protection locked="0"/>
    </xf>
    <xf numFmtId="0" fontId="7" fillId="0" borderId="44" xfId="1" applyFont="1" applyBorder="1" applyAlignment="1" applyProtection="1">
      <alignment horizontal="left" vertical="center" wrapText="1"/>
      <protection locked="0"/>
    </xf>
    <xf numFmtId="0" fontId="7" fillId="0" borderId="36" xfId="1" applyFont="1" applyBorder="1" applyAlignment="1" applyProtection="1">
      <alignment horizontal="left" vertical="center" wrapText="1"/>
      <protection locked="0"/>
    </xf>
    <xf numFmtId="0" fontId="7" fillId="0" borderId="15" xfId="1" applyFont="1" applyBorder="1" applyAlignment="1" applyProtection="1">
      <alignment horizontal="left" vertical="center" wrapText="1"/>
      <protection locked="0"/>
    </xf>
    <xf numFmtId="0" fontId="1" fillId="0" borderId="13" xfId="1" applyBorder="1" applyAlignment="1" applyProtection="1">
      <alignment horizontal="center" vertical="center" wrapText="1"/>
      <protection locked="0"/>
    </xf>
    <xf numFmtId="0" fontId="1" fillId="0" borderId="36" xfId="1" applyBorder="1" applyAlignment="1" applyProtection="1">
      <alignment horizontal="center" vertical="center" wrapText="1"/>
      <protection locked="0"/>
    </xf>
    <xf numFmtId="0" fontId="1" fillId="0" borderId="15" xfId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36" xfId="1" applyFont="1" applyBorder="1" applyAlignment="1" applyProtection="1">
      <alignment horizontal="center" vertical="center" wrapText="1"/>
      <protection locked="0"/>
    </xf>
    <xf numFmtId="0" fontId="43" fillId="0" borderId="13" xfId="1" applyFont="1" applyBorder="1" applyAlignment="1" applyProtection="1">
      <alignment horizontal="center" vertical="center" wrapText="1"/>
      <protection locked="0"/>
    </xf>
    <xf numFmtId="0" fontId="43" fillId="0" borderId="15" xfId="1" applyFont="1" applyBorder="1" applyAlignment="1" applyProtection="1">
      <alignment horizontal="center" vertical="center" wrapText="1"/>
      <protection locked="0"/>
    </xf>
    <xf numFmtId="0" fontId="18" fillId="2" borderId="0" xfId="1" applyFont="1" applyFill="1" applyAlignment="1" applyProtection="1">
      <alignment horizontal="right" vertical="center" wrapText="1"/>
      <protection locked="0"/>
    </xf>
    <xf numFmtId="0" fontId="24" fillId="2" borderId="0" xfId="1" applyFont="1" applyFill="1" applyAlignment="1">
      <alignment horizontal="left" vertical="center" wrapText="1"/>
    </xf>
    <xf numFmtId="0" fontId="29" fillId="0" borderId="0" xfId="0" applyFont="1" applyAlignment="1" applyProtection="1">
      <alignment horizontal="left" vertical="center" wrapText="1" readingOrder="1"/>
      <protection locked="0"/>
    </xf>
    <xf numFmtId="0" fontId="23" fillId="0" borderId="0" xfId="2" applyFont="1" applyAlignment="1">
      <alignment horizontal="center" vertical="center"/>
    </xf>
    <xf numFmtId="2" fontId="45" fillId="0" borderId="67" xfId="1" applyNumberFormat="1" applyFont="1" applyBorder="1" applyAlignment="1" applyProtection="1">
      <alignment horizontal="center" vertical="center" wrapText="1"/>
      <protection locked="0"/>
    </xf>
    <xf numFmtId="2" fontId="45" fillId="0" borderId="69" xfId="1" applyNumberFormat="1" applyFont="1" applyBorder="1" applyAlignment="1" applyProtection="1">
      <alignment horizontal="center" vertical="center" wrapText="1"/>
      <protection locked="0"/>
    </xf>
    <xf numFmtId="167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0" fontId="29" fillId="0" borderId="19" xfId="0" applyFont="1" applyBorder="1" applyAlignment="1" applyProtection="1">
      <alignment horizontal="center" vertical="center" wrapText="1" readingOrder="1"/>
      <protection locked="0"/>
    </xf>
    <xf numFmtId="0" fontId="29" fillId="0" borderId="76" xfId="0" applyFont="1" applyBorder="1" applyAlignment="1" applyProtection="1">
      <alignment horizontal="center" vertical="center" wrapText="1" readingOrder="1"/>
      <protection locked="0"/>
    </xf>
    <xf numFmtId="0" fontId="29" fillId="0" borderId="3" xfId="0" applyFont="1" applyBorder="1" applyAlignment="1" applyProtection="1">
      <alignment horizontal="center" vertical="center" wrapText="1" readingOrder="1"/>
      <protection locked="0"/>
    </xf>
    <xf numFmtId="0" fontId="29" fillId="0" borderId="2" xfId="0" applyFont="1" applyBorder="1" applyAlignment="1" applyProtection="1">
      <alignment horizontal="center" vertical="center" wrapText="1" readingOrder="1"/>
      <protection locked="0"/>
    </xf>
    <xf numFmtId="0" fontId="29" fillId="0" borderId="79" xfId="0" applyFont="1" applyBorder="1" applyAlignment="1" applyProtection="1">
      <alignment horizontal="center" vertical="center" wrapText="1" readingOrder="1"/>
      <protection locked="0"/>
    </xf>
    <xf numFmtId="0" fontId="30" fillId="2" borderId="0" xfId="1" applyFont="1" applyFill="1" applyAlignment="1" applyProtection="1">
      <alignment horizontal="left" vertical="top" wrapText="1"/>
      <protection locked="0"/>
    </xf>
    <xf numFmtId="0" fontId="35" fillId="3" borderId="17" xfId="1" applyFont="1" applyFill="1" applyBorder="1" applyAlignment="1" applyProtection="1">
      <alignment horizontal="center" vertical="center" wrapText="1"/>
      <protection locked="0"/>
    </xf>
    <xf numFmtId="0" fontId="35" fillId="3" borderId="78" xfId="1" applyFont="1" applyFill="1" applyBorder="1" applyAlignment="1" applyProtection="1">
      <alignment horizontal="center" vertical="center" wrapText="1"/>
      <protection locked="0"/>
    </xf>
    <xf numFmtId="0" fontId="35" fillId="3" borderId="77" xfId="1" applyFont="1" applyFill="1" applyBorder="1" applyAlignment="1" applyProtection="1">
      <alignment horizontal="center" vertical="center" wrapText="1"/>
      <protection locked="0"/>
    </xf>
    <xf numFmtId="0" fontId="35" fillId="3" borderId="16" xfId="1" applyFont="1" applyFill="1" applyBorder="1" applyAlignment="1" applyProtection="1">
      <alignment horizontal="center" vertical="center" wrapText="1"/>
      <protection locked="0"/>
    </xf>
    <xf numFmtId="0" fontId="35" fillId="3" borderId="18" xfId="1" applyFont="1" applyFill="1" applyBorder="1" applyAlignment="1" applyProtection="1">
      <alignment horizontal="center" vertical="center" wrapText="1"/>
      <protection locked="0"/>
    </xf>
    <xf numFmtId="165" fontId="45" fillId="0" borderId="75" xfId="1" applyNumberFormat="1" applyFont="1" applyBorder="1" applyAlignment="1" applyProtection="1">
      <alignment horizontal="center" vertical="center" wrapText="1"/>
      <protection locked="0"/>
    </xf>
    <xf numFmtId="165" fontId="45" fillId="0" borderId="41" xfId="1" applyNumberFormat="1" applyFont="1" applyBorder="1" applyAlignment="1" applyProtection="1">
      <alignment horizontal="center" vertical="center" wrapText="1"/>
      <protection locked="0"/>
    </xf>
    <xf numFmtId="165" fontId="45" fillId="0" borderId="80" xfId="1" applyNumberFormat="1" applyFont="1" applyBorder="1" applyAlignment="1" applyProtection="1">
      <alignment horizontal="center" vertical="center" wrapText="1"/>
      <protection locked="0"/>
    </xf>
    <xf numFmtId="165" fontId="45" fillId="0" borderId="1" xfId="1" applyNumberFormat="1" applyFont="1" applyBorder="1" applyAlignment="1" applyProtection="1">
      <alignment horizontal="center" vertical="center" wrapText="1"/>
      <protection locked="0"/>
    </xf>
    <xf numFmtId="167" fontId="44" fillId="0" borderId="40" xfId="1" applyNumberFormat="1" applyFont="1" applyBorder="1" applyAlignment="1" applyProtection="1">
      <alignment horizontal="center" vertical="center" wrapText="1"/>
      <protection locked="0"/>
    </xf>
    <xf numFmtId="167" fontId="44" fillId="0" borderId="19" xfId="1" applyNumberFormat="1" applyFont="1" applyBorder="1" applyAlignment="1" applyProtection="1">
      <alignment horizontal="center" vertical="center" wrapText="1"/>
      <protection locked="0"/>
    </xf>
    <xf numFmtId="167" fontId="44" fillId="0" borderId="76" xfId="1" applyNumberFormat="1" applyFont="1" applyBorder="1" applyAlignment="1" applyProtection="1">
      <alignment horizontal="center" vertical="center" wrapText="1"/>
      <protection locked="0"/>
    </xf>
    <xf numFmtId="167" fontId="44" fillId="0" borderId="3" xfId="1" applyNumberFormat="1" applyFont="1" applyBorder="1" applyAlignment="1" applyProtection="1">
      <alignment horizontal="center" vertical="center" wrapText="1"/>
      <protection locked="0"/>
    </xf>
    <xf numFmtId="167" fontId="44" fillId="0" borderId="2" xfId="1" applyNumberFormat="1" applyFont="1" applyBorder="1" applyAlignment="1" applyProtection="1">
      <alignment horizontal="center" vertical="center" wrapText="1"/>
      <protection locked="0"/>
    </xf>
    <xf numFmtId="167" fontId="44" fillId="0" borderId="79" xfId="1" applyNumberFormat="1" applyFont="1" applyBorder="1" applyAlignment="1" applyProtection="1">
      <alignment horizontal="center" vertical="center" wrapText="1"/>
      <protection locked="0"/>
    </xf>
    <xf numFmtId="165" fontId="44" fillId="0" borderId="75" xfId="1" applyNumberFormat="1" applyFont="1" applyBorder="1" applyAlignment="1" applyProtection="1">
      <alignment horizontal="center" vertical="center" wrapText="1"/>
      <protection locked="0"/>
    </xf>
    <xf numFmtId="165" fontId="44" fillId="0" borderId="19" xfId="1" applyNumberFormat="1" applyFont="1" applyBorder="1" applyAlignment="1" applyProtection="1">
      <alignment horizontal="center" vertical="center" wrapText="1"/>
      <protection locked="0"/>
    </xf>
    <xf numFmtId="165" fontId="44" fillId="0" borderId="41" xfId="1" applyNumberFormat="1" applyFont="1" applyBorder="1" applyAlignment="1" applyProtection="1">
      <alignment horizontal="center" vertical="center" wrapText="1"/>
      <protection locked="0"/>
    </xf>
    <xf numFmtId="165" fontId="44" fillId="0" borderId="80" xfId="1" applyNumberFormat="1" applyFont="1" applyBorder="1" applyAlignment="1" applyProtection="1">
      <alignment horizontal="center" vertical="center" wrapText="1"/>
      <protection locked="0"/>
    </xf>
    <xf numFmtId="165" fontId="44" fillId="0" borderId="2" xfId="1" applyNumberFormat="1" applyFont="1" applyBorder="1" applyAlignment="1" applyProtection="1">
      <alignment horizontal="center" vertical="center" wrapText="1"/>
      <protection locked="0"/>
    </xf>
    <xf numFmtId="165" fontId="44" fillId="0" borderId="1" xfId="1" applyNumberFormat="1" applyFont="1" applyBorder="1" applyAlignment="1" applyProtection="1">
      <alignment horizontal="center" vertical="center" wrapText="1"/>
      <protection locked="0"/>
    </xf>
    <xf numFmtId="0" fontId="2" fillId="0" borderId="32" xfId="1" applyFont="1" applyBorder="1" applyAlignment="1" applyProtection="1">
      <alignment horizontal="center" vertical="center" shrinkToFit="1"/>
      <protection locked="0"/>
    </xf>
    <xf numFmtId="0" fontId="1" fillId="0" borderId="73" xfId="1" applyBorder="1" applyAlignment="1" applyProtection="1">
      <alignment horizontal="right" vertical="center"/>
      <protection locked="0"/>
    </xf>
    <xf numFmtId="0" fontId="1" fillId="0" borderId="35" xfId="1" applyBorder="1" applyAlignment="1" applyProtection="1">
      <alignment horizontal="center" vertical="center"/>
      <protection locked="0"/>
    </xf>
    <xf numFmtId="0" fontId="1" fillId="0" borderId="31" xfId="1" applyBorder="1" applyAlignment="1" applyProtection="1">
      <alignment horizontal="center" vertical="center"/>
      <protection locked="0"/>
    </xf>
    <xf numFmtId="0" fontId="24" fillId="2" borderId="0" xfId="1" applyFont="1" applyFill="1" applyAlignment="1" applyProtection="1">
      <alignment horizontal="left" vertical="center" wrapText="1"/>
      <protection locked="0"/>
    </xf>
    <xf numFmtId="0" fontId="23" fillId="0" borderId="0" xfId="2" applyFont="1" applyAlignment="1" applyProtection="1">
      <alignment horizontal="center" vertical="center"/>
      <protection locked="0"/>
    </xf>
    <xf numFmtId="0" fontId="24" fillId="2" borderId="33" xfId="1" applyFont="1" applyFill="1" applyBorder="1" applyAlignment="1" applyProtection="1">
      <alignment horizontal="left" vertical="center" wrapText="1"/>
      <protection locked="0"/>
    </xf>
    <xf numFmtId="10" fontId="45" fillId="0" borderId="19" xfId="1" applyNumberFormat="1" applyFont="1" applyBorder="1" applyAlignment="1" applyProtection="1">
      <alignment horizontal="center" vertical="center" wrapText="1"/>
      <protection locked="0"/>
    </xf>
    <xf numFmtId="10" fontId="45" fillId="0" borderId="76" xfId="1" applyNumberFormat="1" applyFont="1" applyBorder="1" applyAlignment="1" applyProtection="1">
      <alignment horizontal="center" vertical="center" wrapText="1"/>
      <protection locked="0"/>
    </xf>
    <xf numFmtId="10" fontId="45" fillId="0" borderId="2" xfId="1" applyNumberFormat="1" applyFont="1" applyBorder="1" applyAlignment="1" applyProtection="1">
      <alignment horizontal="center" vertical="center" wrapText="1"/>
      <protection locked="0"/>
    </xf>
    <xf numFmtId="10" fontId="45" fillId="0" borderId="79" xfId="1" applyNumberFormat="1" applyFont="1" applyBorder="1" applyAlignment="1" applyProtection="1">
      <alignment horizontal="center" vertical="center" wrapText="1"/>
      <protection locked="0"/>
    </xf>
    <xf numFmtId="0" fontId="26" fillId="0" borderId="12" xfId="3" applyFont="1" applyBorder="1" applyAlignment="1">
      <alignment horizontal="center" vertical="center"/>
    </xf>
    <xf numFmtId="168" fontId="61" fillId="0" borderId="0" xfId="4" applyNumberFormat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72" fillId="0" borderId="27" xfId="4" applyFont="1" applyBorder="1" applyAlignment="1">
      <alignment horizontal="left" vertical="center"/>
    </xf>
    <xf numFmtId="0" fontId="72" fillId="0" borderId="0" xfId="4" applyFont="1" applyAlignment="1">
      <alignment horizontal="left" vertical="center"/>
    </xf>
    <xf numFmtId="0" fontId="65" fillId="6" borderId="84" xfId="4" applyFont="1" applyFill="1" applyBorder="1" applyAlignment="1">
      <alignment horizontal="center"/>
    </xf>
    <xf numFmtId="0" fontId="65" fillId="6" borderId="32" xfId="4" applyFont="1" applyFill="1" applyBorder="1" applyAlignment="1">
      <alignment horizontal="center"/>
    </xf>
    <xf numFmtId="0" fontId="65" fillId="6" borderId="95" xfId="4" applyFont="1" applyFill="1" applyBorder="1" applyAlignment="1">
      <alignment horizontal="center"/>
    </xf>
    <xf numFmtId="0" fontId="65" fillId="6" borderId="96" xfId="4" applyFont="1" applyFill="1" applyBorder="1" applyAlignment="1">
      <alignment horizontal="center"/>
    </xf>
    <xf numFmtId="0" fontId="65" fillId="6" borderId="97" xfId="4" applyFont="1" applyFill="1" applyBorder="1" applyAlignment="1">
      <alignment horizontal="center"/>
    </xf>
    <xf numFmtId="0" fontId="65" fillId="6" borderId="131" xfId="4" applyFont="1" applyFill="1" applyBorder="1" applyAlignment="1">
      <alignment horizontal="center"/>
    </xf>
    <xf numFmtId="0" fontId="65" fillId="6" borderId="24" xfId="4" applyFont="1" applyFill="1" applyBorder="1" applyAlignment="1">
      <alignment horizontal="center"/>
    </xf>
    <xf numFmtId="0" fontId="65" fillId="6" borderId="132" xfId="4" applyFont="1" applyFill="1" applyBorder="1" applyAlignment="1">
      <alignment horizontal="center"/>
    </xf>
    <xf numFmtId="0" fontId="64" fillId="6" borderId="10" xfId="4" applyFont="1" applyFill="1" applyBorder="1" applyAlignment="1">
      <alignment horizontal="center" vertical="center" wrapText="1"/>
    </xf>
    <xf numFmtId="0" fontId="64" fillId="6" borderId="29" xfId="4" applyFont="1" applyFill="1" applyBorder="1" applyAlignment="1">
      <alignment horizontal="center" vertical="center" wrapText="1"/>
    </xf>
    <xf numFmtId="0" fontId="64" fillId="6" borderId="34" xfId="4" applyFont="1" applyFill="1" applyBorder="1" applyAlignment="1">
      <alignment horizontal="center" vertical="center"/>
    </xf>
    <xf numFmtId="0" fontId="64" fillId="6" borderId="31" xfId="4" applyFont="1" applyFill="1" applyBorder="1" applyAlignment="1">
      <alignment horizontal="center" vertical="center"/>
    </xf>
    <xf numFmtId="0" fontId="65" fillId="6" borderId="84" xfId="4" applyFont="1" applyFill="1" applyBorder="1" applyAlignment="1">
      <alignment horizontal="center" vertical="center"/>
    </xf>
    <xf numFmtId="0" fontId="65" fillId="6" borderId="32" xfId="4" applyFont="1" applyFill="1" applyBorder="1" applyAlignment="1">
      <alignment horizontal="center" vertical="center"/>
    </xf>
    <xf numFmtId="0" fontId="65" fillId="6" borderId="85" xfId="4" applyFont="1" applyFill="1" applyBorder="1" applyAlignment="1">
      <alignment horizontal="center" vertical="center"/>
    </xf>
    <xf numFmtId="0" fontId="1" fillId="9" borderId="84" xfId="4" applyFill="1" applyBorder="1" applyAlignment="1">
      <alignment horizontal="center"/>
    </xf>
    <xf numFmtId="0" fontId="1" fillId="9" borderId="32" xfId="4" applyFill="1" applyBorder="1" applyAlignment="1">
      <alignment horizontal="center"/>
    </xf>
    <xf numFmtId="0" fontId="66" fillId="6" borderId="35" xfId="4" applyFont="1" applyFill="1" applyBorder="1" applyAlignment="1">
      <alignment horizontal="center" wrapText="1"/>
    </xf>
    <xf numFmtId="0" fontId="66" fillId="6" borderId="30" xfId="4" applyFont="1" applyFill="1" applyBorder="1" applyAlignment="1">
      <alignment horizontal="center" wrapText="1"/>
    </xf>
    <xf numFmtId="0" fontId="66" fillId="6" borderId="10" xfId="4" applyFont="1" applyFill="1" applyBorder="1" applyAlignment="1">
      <alignment horizontal="center" wrapText="1"/>
    </xf>
    <xf numFmtId="0" fontId="66" fillId="6" borderId="29" xfId="4" applyFont="1" applyFill="1" applyBorder="1" applyAlignment="1">
      <alignment horizontal="center" wrapText="1"/>
    </xf>
    <xf numFmtId="0" fontId="66" fillId="6" borderId="10" xfId="4" applyFont="1" applyFill="1" applyBorder="1" applyAlignment="1">
      <alignment horizontal="center" vertical="center" wrapText="1"/>
    </xf>
    <xf numFmtId="0" fontId="66" fillId="6" borderId="29" xfId="4" applyFont="1" applyFill="1" applyBorder="1" applyAlignment="1">
      <alignment horizontal="center" vertical="center" wrapText="1"/>
    </xf>
    <xf numFmtId="0" fontId="66" fillId="7" borderId="86" xfId="4" applyFont="1" applyFill="1" applyBorder="1" applyAlignment="1">
      <alignment horizontal="center" vertical="center"/>
    </xf>
    <xf numFmtId="0" fontId="66" fillId="7" borderId="87" xfId="4" applyFont="1" applyFill="1" applyBorder="1" applyAlignment="1">
      <alignment horizontal="center" vertical="center"/>
    </xf>
    <xf numFmtId="0" fontId="1" fillId="9" borderId="136" xfId="4" applyFill="1" applyBorder="1" applyAlignment="1">
      <alignment horizontal="center"/>
    </xf>
    <xf numFmtId="0" fontId="1" fillId="9" borderId="85" xfId="4" applyFill="1" applyBorder="1" applyAlignment="1">
      <alignment horizontal="center"/>
    </xf>
    <xf numFmtId="0" fontId="1" fillId="0" borderId="127" xfId="4" applyBorder="1" applyAlignment="1">
      <alignment horizontal="center"/>
    </xf>
    <xf numFmtId="0" fontId="1" fillId="0" borderId="27" xfId="4" applyBorder="1" applyAlignment="1">
      <alignment horizontal="center"/>
    </xf>
    <xf numFmtId="0" fontId="1" fillId="0" borderId="35" xfId="4" applyBorder="1" applyAlignment="1">
      <alignment horizontal="center"/>
    </xf>
    <xf numFmtId="0" fontId="1" fillId="0" borderId="129" xfId="4" applyBorder="1" applyAlignment="1">
      <alignment horizontal="center"/>
    </xf>
    <xf numFmtId="0" fontId="1" fillId="0" borderId="0" xfId="4" applyAlignment="1">
      <alignment horizontal="center"/>
    </xf>
    <xf numFmtId="0" fontId="1" fillId="0" borderId="11" xfId="4" applyBorder="1" applyAlignment="1">
      <alignment horizontal="center"/>
    </xf>
    <xf numFmtId="0" fontId="1" fillId="0" borderId="131" xfId="4" applyBorder="1" applyAlignment="1">
      <alignment horizontal="center"/>
    </xf>
    <xf numFmtId="0" fontId="1" fillId="0" borderId="24" xfId="4" applyBorder="1" applyAlignment="1">
      <alignment horizontal="center"/>
    </xf>
    <xf numFmtId="0" fontId="1" fillId="0" borderId="30" xfId="4" applyBorder="1" applyAlignment="1">
      <alignment horizontal="center"/>
    </xf>
    <xf numFmtId="0" fontId="65" fillId="6" borderId="85" xfId="4" applyFont="1" applyFill="1" applyBorder="1" applyAlignment="1">
      <alignment horizontal="center"/>
    </xf>
    <xf numFmtId="0" fontId="65" fillId="9" borderId="95" xfId="4" applyFont="1" applyFill="1" applyBorder="1" applyAlignment="1">
      <alignment horizontal="center"/>
    </xf>
    <xf numFmtId="0" fontId="65" fillId="9" borderId="96" xfId="4" applyFont="1" applyFill="1" applyBorder="1" applyAlignment="1">
      <alignment horizontal="center"/>
    </xf>
    <xf numFmtId="0" fontId="65" fillId="9" borderId="97" xfId="4" applyFont="1" applyFill="1" applyBorder="1" applyAlignment="1">
      <alignment horizontal="center"/>
    </xf>
    <xf numFmtId="0" fontId="65" fillId="6" borderId="12" xfId="4" applyFont="1" applyFill="1" applyBorder="1" applyAlignment="1">
      <alignment horizontal="center" vertical="center"/>
    </xf>
    <xf numFmtId="0" fontId="71" fillId="0" borderId="27" xfId="4" applyFont="1" applyBorder="1" applyAlignment="1">
      <alignment horizontal="center"/>
    </xf>
    <xf numFmtId="0" fontId="76" fillId="6" borderId="10" xfId="4" applyFont="1" applyFill="1" applyBorder="1" applyAlignment="1">
      <alignment horizontal="center" wrapText="1"/>
    </xf>
    <xf numFmtId="0" fontId="76" fillId="6" borderId="29" xfId="4" applyFont="1" applyFill="1" applyBorder="1" applyAlignment="1">
      <alignment horizontal="center" wrapText="1"/>
    </xf>
    <xf numFmtId="0" fontId="76" fillId="6" borderId="10" xfId="4" applyFont="1" applyFill="1" applyBorder="1" applyAlignment="1">
      <alignment horizontal="center" vertical="center" wrapText="1"/>
    </xf>
    <xf numFmtId="0" fontId="76" fillId="6" borderId="29" xfId="4" applyFont="1" applyFill="1" applyBorder="1" applyAlignment="1">
      <alignment horizontal="center" vertical="center" wrapText="1"/>
    </xf>
    <xf numFmtId="0" fontId="76" fillId="7" borderId="86" xfId="4" applyFont="1" applyFill="1" applyBorder="1" applyAlignment="1">
      <alignment horizontal="center" vertical="center"/>
    </xf>
    <xf numFmtId="0" fontId="76" fillId="7" borderId="87" xfId="4" applyFont="1" applyFill="1" applyBorder="1" applyAlignment="1">
      <alignment horizontal="center" vertical="center"/>
    </xf>
    <xf numFmtId="0" fontId="35" fillId="0" borderId="25" xfId="1" applyFont="1" applyBorder="1" applyAlignment="1" applyProtection="1">
      <alignment horizontal="left" vertical="center"/>
      <protection locked="0"/>
    </xf>
    <xf numFmtId="0" fontId="35" fillId="0" borderId="51" xfId="1" applyFont="1" applyBorder="1" applyAlignment="1" applyProtection="1">
      <alignment horizontal="left" vertical="center"/>
      <protection locked="0"/>
    </xf>
    <xf numFmtId="0" fontId="15" fillId="2" borderId="25" xfId="1" quotePrefix="1" applyFont="1" applyFill="1" applyBorder="1" applyAlignment="1" applyProtection="1">
      <alignment horizontal="left" vertical="center"/>
      <protection locked="0"/>
    </xf>
    <xf numFmtId="0" fontId="82" fillId="2" borderId="25" xfId="1" quotePrefix="1" applyFont="1" applyFill="1" applyBorder="1" applyAlignment="1" applyProtection="1">
      <alignment horizontal="left" vertical="center"/>
      <protection locked="0"/>
    </xf>
    <xf numFmtId="0" fontId="81" fillId="11" borderId="25" xfId="0" applyFont="1" applyFill="1" applyBorder="1" applyAlignment="1"/>
    <xf numFmtId="0" fontId="81" fillId="11" borderId="126" xfId="0" applyFont="1" applyFill="1" applyBorder="1" applyAlignment="1"/>
  </cellXfs>
  <cellStyles count="9">
    <cellStyle name="Comma 2" xfId="6" xr:uid="{3F654F00-0839-4DE4-AC58-115BE75A6F43}"/>
    <cellStyle name="Normal" xfId="0" builtinId="0"/>
    <cellStyle name="Normal 2" xfId="3" xr:uid="{00000000-0005-0000-0000-000001000000}"/>
    <cellStyle name="Normal 2 2" xfId="4" xr:uid="{2882CB67-4473-445C-967C-712BA5216F8B}"/>
    <cellStyle name="Normal 3" xfId="2" xr:uid="{00000000-0005-0000-0000-000002000000}"/>
    <cellStyle name="Normal 4" xfId="1" xr:uid="{00000000-0005-0000-0000-000003000000}"/>
    <cellStyle name="Normal 5" xfId="7" xr:uid="{636D2EA2-BA01-4090-9C3C-837B6275253A}"/>
    <cellStyle name="Normal_2013 Summary Chart (new)" xfId="5" xr:uid="{7579D035-77DC-46F2-B065-8B711C7B9A1B}"/>
    <cellStyle name="Normal_Book2_1" xfId="8" xr:uid="{84EBC44E-FDF2-4DA7-A86F-F9D1757DE381}"/>
  </cellStyles>
  <dxfs count="733"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lor rgb="FF0000FF"/>
      </font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 patternType="lightUp">
          <bgColor rgb="FFFFFFFF"/>
        </patternFill>
      </fill>
    </dxf>
    <dxf>
      <fill>
        <patternFill patternType="lightUp"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>
          <bgColor rgb="FFFFFFFF"/>
        </patternFill>
      </fill>
    </dxf>
  </dxfs>
  <tableStyles count="0" defaultTableStyle="TableStyleMedium2" defaultPivotStyle="PivotStyleLight16"/>
  <colors>
    <mruColors>
      <color rgb="FFFFCCFF"/>
      <color rgb="FF66FF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'FM0704-3 Rev.2(P.1)'!$S$34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A-42FF-9360-3AFC0F9C7276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A-42FF-9360-3AFC0F9C7276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6A-42FF-9360-3AFC0F9C7276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F6-4FD1-A90A-DDEF260161AD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59-4DDD-B8EB-63CA80215C42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7A-48E3-91E4-7139AD2E3307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F6-4FD1-A90A-DDEF260161AD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59-4DDD-B8EB-63CA80215C42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F6-4FD1-A90A-DDEF260161AD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F6-4FD1-A90A-DDEF260161AD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F6-4FD1-A90A-DDEF260161AD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F6-4FD1-A90A-DDEF260161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'FM0704-3 Rev.2(P.1)'!$T$28:$AE$28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'FM0704-3 Rev.2(P.1)'!$T$34:$AE$34</c:f>
              <c:numCache>
                <c:formatCode>0.0%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6A-42FF-9360-3AFC0F9C7276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'FM0704-3 Rev.2(P.1)'!$T$30:$AE$30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6A-42FF-9360-3AFC0F9C7276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'FM0704-3 Rev.2(P.1)'!$T$29:$AE$29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6A-42FF-9360-3AFC0F9C7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1270358306188926E-2"/>
          <c:y val="0.10707352792597671"/>
          <c:w val="0.95500030051025864"/>
          <c:h val="0.695707691206056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'Summary Mat'!$U$15:$U$42</c:f>
              <c:strCache>
                <c:ptCount val="28"/>
                <c:pt idx="0">
                  <c:v>JUN</c:v>
                </c:pt>
                <c:pt idx="1">
                  <c:v> 83.30 </c:v>
                </c:pt>
                <c:pt idx="2">
                  <c:v> 83.30 </c:v>
                </c:pt>
                <c:pt idx="3">
                  <c:v> 83.30 </c:v>
                </c:pt>
                <c:pt idx="4">
                  <c:v> 83.30 </c:v>
                </c:pt>
                <c:pt idx="5">
                  <c:v> 83.30 </c:v>
                </c:pt>
                <c:pt idx="6">
                  <c:v> 92.00 </c:v>
                </c:pt>
                <c:pt idx="7">
                  <c:v> 95.00 </c:v>
                </c:pt>
                <c:pt idx="8">
                  <c:v> 95.00 </c:v>
                </c:pt>
                <c:pt idx="9">
                  <c:v> 92.00 </c:v>
                </c:pt>
                <c:pt idx="10">
                  <c:v> 89.00 </c:v>
                </c:pt>
                <c:pt idx="11">
                  <c:v> 83.30 </c:v>
                </c:pt>
                <c:pt idx="12">
                  <c:v> 83.30 </c:v>
                </c:pt>
                <c:pt idx="13">
                  <c:v> 92.00 </c:v>
                </c:pt>
                <c:pt idx="14">
                  <c:v> 83.30 </c:v>
                </c:pt>
                <c:pt idx="15">
                  <c:v> 83.30 </c:v>
                </c:pt>
                <c:pt idx="16">
                  <c:v> 92.00 </c:v>
                </c:pt>
                <c:pt idx="17">
                  <c:v> 92.00 </c:v>
                </c:pt>
                <c:pt idx="18">
                  <c:v> 92.00 </c:v>
                </c:pt>
                <c:pt idx="19">
                  <c:v> 92.00 </c:v>
                </c:pt>
                <c:pt idx="20">
                  <c:v> 92.00 </c:v>
                </c:pt>
                <c:pt idx="21">
                  <c:v> 100.00 </c:v>
                </c:pt>
                <c:pt idx="22">
                  <c:v> 100.00 </c:v>
                </c:pt>
                <c:pt idx="23">
                  <c:v> 100.00 </c:v>
                </c:pt>
                <c:pt idx="24">
                  <c:v> 92.00 </c:v>
                </c:pt>
                <c:pt idx="25">
                  <c:v> 100.00 </c:v>
                </c:pt>
                <c:pt idx="26">
                  <c:v> 97.00 </c:v>
                </c:pt>
                <c:pt idx="27">
                  <c:v> 100.00 </c:v>
                </c:pt>
              </c:strCache>
            </c:strRef>
          </c:tx>
          <c:spPr>
            <a:gradFill rotWithShape="0">
              <a:gsLst>
                <a:gs pos="0">
                  <a:srgbClr val="00CCFF"/>
                </a:gs>
                <a:gs pos="50000">
                  <a:srgbClr val="FF99CC"/>
                </a:gs>
                <a:gs pos="100000">
                  <a:srgbClr val="00CCFF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Mat'!$B$16:$B$44</c:f>
              <c:strCache>
                <c:ptCount val="29"/>
                <c:pt idx="0">
                  <c:v>Almet Thai</c:v>
                </c:pt>
                <c:pt idx="1">
                  <c:v>Kyoto</c:v>
                </c:pt>
                <c:pt idx="2">
                  <c:v>DONGGUAN</c:v>
                </c:pt>
                <c:pt idx="3">
                  <c:v>UGITECH</c:v>
                </c:pt>
                <c:pt idx="4">
                  <c:v>Daido</c:v>
                </c:pt>
                <c:pt idx="5">
                  <c:v>JIANGSU</c:v>
                </c:pt>
                <c:pt idx="6">
                  <c:v>Akiyama-SC</c:v>
                </c:pt>
                <c:pt idx="7">
                  <c:v>Akiyama jp</c:v>
                </c:pt>
                <c:pt idx="8">
                  <c:v>Apollo </c:v>
                </c:pt>
                <c:pt idx="9">
                  <c:v>Voestalpine AG</c:v>
                </c:pt>
                <c:pt idx="10">
                  <c:v>T.S.K.</c:v>
                </c:pt>
                <c:pt idx="11">
                  <c:v>Steeltec</c:v>
                </c:pt>
                <c:pt idx="12">
                  <c:v>Bedra</c:v>
                </c:pt>
                <c:pt idx="13">
                  <c:v>CAMELLIA</c:v>
                </c:pt>
                <c:pt idx="14">
                  <c:v>SHINSHO THAI</c:v>
                </c:pt>
                <c:pt idx="15">
                  <c:v>NSL</c:v>
                </c:pt>
                <c:pt idx="16">
                  <c:v>BGH</c:v>
                </c:pt>
                <c:pt idx="17">
                  <c:v>Amino</c:v>
                </c:pt>
                <c:pt idx="18">
                  <c:v>Lotus Metal</c:v>
                </c:pt>
                <c:pt idx="19">
                  <c:v>Nippon Steel</c:v>
                </c:pt>
                <c:pt idx="20">
                  <c:v>Shinsho Cor</c:v>
                </c:pt>
                <c:pt idx="21">
                  <c:v>MENAM</c:v>
                </c:pt>
                <c:pt idx="22">
                  <c:v>Komatsu</c:v>
                </c:pt>
                <c:pt idx="23">
                  <c:v>Asai Thai</c:v>
                </c:pt>
                <c:pt idx="24">
                  <c:v>LMAT</c:v>
                </c:pt>
                <c:pt idx="25">
                  <c:v>Okaya</c:v>
                </c:pt>
                <c:pt idx="26">
                  <c:v>Sakuma</c:v>
                </c:pt>
                <c:pt idx="27">
                  <c:v>Yamaichi </c:v>
                </c:pt>
                <c:pt idx="28">
                  <c:v>NST WIRE</c:v>
                </c:pt>
              </c:strCache>
            </c:strRef>
          </c:cat>
          <c:val>
            <c:numRef>
              <c:f>'Summary Mat'!$U$16:$U$42</c:f>
              <c:numCache>
                <c:formatCode>_ * #,##0.00_ ;_ * \-#,##0.00_ ;_ * "-"??_ ;_ @_ </c:formatCode>
                <c:ptCount val="27"/>
                <c:pt idx="0">
                  <c:v>83.3</c:v>
                </c:pt>
                <c:pt idx="1">
                  <c:v>83.3</c:v>
                </c:pt>
                <c:pt idx="2">
                  <c:v>83.3</c:v>
                </c:pt>
                <c:pt idx="3">
                  <c:v>83.3</c:v>
                </c:pt>
                <c:pt idx="4">
                  <c:v>83.3</c:v>
                </c:pt>
                <c:pt idx="5">
                  <c:v>92</c:v>
                </c:pt>
                <c:pt idx="6">
                  <c:v>95</c:v>
                </c:pt>
                <c:pt idx="7">
                  <c:v>95</c:v>
                </c:pt>
                <c:pt idx="8">
                  <c:v>92</c:v>
                </c:pt>
                <c:pt idx="9">
                  <c:v>89</c:v>
                </c:pt>
                <c:pt idx="10">
                  <c:v>83.3</c:v>
                </c:pt>
                <c:pt idx="11">
                  <c:v>83.3</c:v>
                </c:pt>
                <c:pt idx="12">
                  <c:v>92</c:v>
                </c:pt>
                <c:pt idx="13">
                  <c:v>83.3</c:v>
                </c:pt>
                <c:pt idx="14">
                  <c:v>83.3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92</c:v>
                </c:pt>
                <c:pt idx="24">
                  <c:v>100</c:v>
                </c:pt>
                <c:pt idx="25">
                  <c:v>97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62-4F71-BF22-CD47A63E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529952"/>
        <c:axId val="332530336"/>
      </c:barChart>
      <c:catAx>
        <c:axId val="3325299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/>
            </a:pPr>
            <a:endParaRPr lang="en-US"/>
          </a:p>
        </c:txPr>
        <c:crossAx val="332530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32530336"/>
        <c:scaling>
          <c:orientation val="minMax"/>
          <c:max val="100"/>
          <c:min val="0"/>
        </c:scaling>
        <c:delete val="0"/>
        <c:axPos val="l"/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32529952"/>
        <c:crosses val="autoZero"/>
        <c:crossBetween val="between"/>
        <c:majorUnit val="10"/>
        <c:minorUnit val="2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1270358306188926E-2"/>
          <c:y val="0.10707352792597671"/>
          <c:w val="0.95500030051025864"/>
          <c:h val="0.695707691206056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'Summary Part'!$V$15</c:f>
              <c:strCache>
                <c:ptCount val="1"/>
                <c:pt idx="0">
                  <c:v>JUL</c:v>
                </c:pt>
              </c:strCache>
            </c:strRef>
          </c:tx>
          <c:spPr>
            <a:gradFill rotWithShape="0">
              <a:gsLst>
                <a:gs pos="0">
                  <a:srgbClr val="00CCFF"/>
                </a:gs>
                <a:gs pos="50000">
                  <a:srgbClr val="FF99CC"/>
                </a:gs>
                <a:gs pos="100000">
                  <a:srgbClr val="00CCFF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Part'!$B$16:$B$37</c:f>
              <c:strCache>
                <c:ptCount val="3"/>
                <c:pt idx="0">
                  <c:v>Eto</c:v>
                </c:pt>
                <c:pt idx="1">
                  <c:v>Summit</c:v>
                </c:pt>
                <c:pt idx="2">
                  <c:v>Nissan spring </c:v>
                </c:pt>
              </c:strCache>
            </c:strRef>
          </c:cat>
          <c:val>
            <c:numRef>
              <c:f>'Summary Part'!$V$16:$V$37</c:f>
              <c:numCache>
                <c:formatCode>_ * #,##0.00_ ;_ * \-#,##0.00_ ;_ * "-"??_ ;_ @_ </c:formatCode>
                <c:ptCount val="22"/>
                <c:pt idx="0">
                  <c:v>83.3</c:v>
                </c:pt>
                <c:pt idx="1">
                  <c:v>92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F80-4BAD-97A9-4CFD8B97A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165504"/>
        <c:axId val="333165888"/>
      </c:barChart>
      <c:catAx>
        <c:axId val="3331655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/>
            </a:pPr>
            <a:endParaRPr lang="en-US"/>
          </a:p>
        </c:txPr>
        <c:crossAx val="333165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33165888"/>
        <c:scaling>
          <c:orientation val="minMax"/>
          <c:max val="100"/>
          <c:min val="0"/>
        </c:scaling>
        <c:delete val="0"/>
        <c:axPos val="l"/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33165504"/>
        <c:crosses val="autoZero"/>
        <c:crossBetween val="between"/>
        <c:majorUnit val="10"/>
        <c:minorUnit val="2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'NISSAN SPRING'!$S$34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3F-4B7D-AD2D-D66BB658A934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3F-4B7D-AD2D-D66BB658A934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3F-4B7D-AD2D-D66BB658A934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3F-4B7D-AD2D-D66BB658A934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3F-4B7D-AD2D-D66BB658A934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3F-4B7D-AD2D-D66BB658A934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3F-4B7D-AD2D-D66BB658A934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3F-4B7D-AD2D-D66BB658A934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3F-4B7D-AD2D-D66BB658A934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3F-4B7D-AD2D-D66BB658A934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B3F-4B7D-AD2D-D66BB658A934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3F-4B7D-AD2D-D66BB658A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'NISSAN SPRING'!$T$28:$AE$28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'NISSAN SPRING'!$T$34:$AE$34</c:f>
              <c:numCache>
                <c:formatCode>0.0%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3F-4B7D-AD2D-D66BB658A934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'NISSAN SPRING'!$T$30:$AE$30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3F-4B7D-AD2D-D66BB658A934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'NISSAN SPRING'!$T$29:$AE$29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3F-4B7D-AD2D-D66BB658A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ETO!$S$34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13-406D-BE81-EF21AEC1EF6A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13-406D-BE81-EF21AEC1EF6A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13-406D-BE81-EF21AEC1EF6A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13-406D-BE81-EF21AEC1EF6A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13-406D-BE81-EF21AEC1EF6A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13-406D-BE81-EF21AEC1EF6A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13-406D-BE81-EF21AEC1EF6A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13-406D-BE81-EF21AEC1EF6A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13-406D-BE81-EF21AEC1EF6A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13-406D-BE81-EF21AEC1EF6A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13-406D-BE81-EF21AEC1EF6A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13-406D-BE81-EF21AEC1EF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ETO!$T$28:$AE$28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ETO!$T$34:$AE$34</c:f>
              <c:numCache>
                <c:formatCode>0.0%</c:formatCode>
                <c:ptCount val="12"/>
                <c:pt idx="0">
                  <c:v>0.83333333333333337</c:v>
                </c:pt>
                <c:pt idx="1">
                  <c:v>0.92</c:v>
                </c:pt>
                <c:pt idx="2">
                  <c:v>0.95</c:v>
                </c:pt>
                <c:pt idx="3">
                  <c:v>0.83333333333333337</c:v>
                </c:pt>
                <c:pt idx="4">
                  <c:v>0.92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13-406D-BE81-EF21AEC1EF6A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ETO!$T$30:$AE$30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A13-406D-BE81-EF21AEC1EF6A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ETO!$T$29:$AE$29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13-406D-BE81-EF21AEC1E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SCS!$S$34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33-4B7A-93FF-0412B1D9A3D6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33-4B7A-93FF-0412B1D9A3D6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33-4B7A-93FF-0412B1D9A3D6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33-4B7A-93FF-0412B1D9A3D6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33-4B7A-93FF-0412B1D9A3D6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33-4B7A-93FF-0412B1D9A3D6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33-4B7A-93FF-0412B1D9A3D6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33-4B7A-93FF-0412B1D9A3D6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33-4B7A-93FF-0412B1D9A3D6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33-4B7A-93FF-0412B1D9A3D6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33-4B7A-93FF-0412B1D9A3D6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33-4B7A-93FF-0412B1D9A3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SCS!$T$28:$AE$28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SCS!$T$34:$AE$34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0.93</c:v>
                </c:pt>
                <c:pt idx="4">
                  <c:v>0.95</c:v>
                </c:pt>
                <c:pt idx="5">
                  <c:v>0.92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33-4B7A-93FF-0412B1D9A3D6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SCS!$T$30:$AE$30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33-4B7A-93FF-0412B1D9A3D6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SCS!$T$29:$AE$29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33-4B7A-93FF-0412B1D9A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'AKIYAMA JP'!$S$34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62-4505-A712-2C40EF0D417C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62-4505-A712-2C40EF0D417C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62-4505-A712-2C40EF0D417C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62-4505-A712-2C40EF0D417C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62-4505-A712-2C40EF0D417C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62-4505-A712-2C40EF0D417C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62-4505-A712-2C40EF0D417C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62-4505-A712-2C40EF0D417C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62-4505-A712-2C40EF0D417C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62-4505-A712-2C40EF0D417C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62-4505-A712-2C40EF0D417C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62-4505-A712-2C40EF0D41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'AKIYAMA JP'!$T$28:$AE$28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'AKIYAMA JP'!$T$34:$AE$34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0.95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62-4505-A712-2C40EF0D417C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'AKIYAMA JP'!$T$30:$AE$30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762-4505-A712-2C40EF0D417C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'AKIYAMA JP'!$T$29:$AE$29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62-4505-A712-2C40EF0D4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'AKIYAMA SC'!$S$34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AB-4016-81E5-642AFE7386E0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AB-4016-81E5-642AFE7386E0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AB-4016-81E5-642AFE7386E0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AB-4016-81E5-642AFE7386E0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AB-4016-81E5-642AFE7386E0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AB-4016-81E5-642AFE7386E0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AB-4016-81E5-642AFE7386E0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AB-4016-81E5-642AFE7386E0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6AB-4016-81E5-642AFE7386E0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AB-4016-81E5-642AFE7386E0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6AB-4016-81E5-642AFE7386E0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AB-4016-81E5-642AFE738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'AKIYAMA SC'!$T$28:$AE$28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'AKIYAMA SC'!$T$34:$AE$34</c:f>
              <c:numCache>
                <c:formatCode>0.0%</c:formatCode>
                <c:ptCount val="12"/>
                <c:pt idx="0">
                  <c:v>0.95</c:v>
                </c:pt>
                <c:pt idx="1">
                  <c:v>0.92</c:v>
                </c:pt>
                <c:pt idx="2">
                  <c:v>0.92</c:v>
                </c:pt>
                <c:pt idx="3">
                  <c:v>0.83333333333333337</c:v>
                </c:pt>
                <c:pt idx="4">
                  <c:v>0.92</c:v>
                </c:pt>
                <c:pt idx="5">
                  <c:v>0.95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AB-4016-81E5-642AFE7386E0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'AKIYAMA SC'!$T$30:$AE$30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AB-4016-81E5-642AFE7386E0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'AKIYAMA SC'!$T$29:$AE$29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AB-4016-81E5-642AFE738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AMINO!$S$34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08-4542-A38B-8814A4436078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08-4542-A38B-8814A4436078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08-4542-A38B-8814A4436078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08-4542-A38B-8814A4436078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08-4542-A38B-8814A4436078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08-4542-A38B-8814A4436078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08-4542-A38B-8814A4436078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08-4542-A38B-8814A4436078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308-4542-A38B-8814A4436078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08-4542-A38B-8814A4436078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308-4542-A38B-8814A4436078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308-4542-A38B-8814A44360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AMINO!$T$28:$AE$28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AMINO!$T$34:$AE$34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08-4542-A38B-8814A4436078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AMINO!$T$30:$AE$30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308-4542-A38B-8814A4436078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AMINO!$T$29:$AE$29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08-4542-A38B-8814A4436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APOLLO!$S$34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2B-4EDA-AB49-0CD7923992E6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2B-4EDA-AB49-0CD7923992E6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2B-4EDA-AB49-0CD7923992E6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2B-4EDA-AB49-0CD7923992E6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2B-4EDA-AB49-0CD7923992E6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2B-4EDA-AB49-0CD7923992E6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2B-4EDA-AB49-0CD7923992E6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2B-4EDA-AB49-0CD7923992E6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2B-4EDA-AB49-0CD7923992E6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2B-4EDA-AB49-0CD7923992E6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2B-4EDA-AB49-0CD7923992E6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2B-4EDA-AB49-0CD792399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APOLLO!$T$28:$AE$28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APOLLO!$T$34:$AE$34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0.88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0.92</c:v>
                </c:pt>
                <c:pt idx="6">
                  <c:v>0.88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2B-4EDA-AB49-0CD7923992E6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APOLLO!$T$30:$AE$30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82B-4EDA-AB49-0CD7923992E6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APOLLO!$T$29:$AE$29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2B-4EDA-AB49-0CD792399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'ASAI THAI'!$S$34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48-43CC-BB32-4124DAA48BA2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48-43CC-BB32-4124DAA48BA2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48-43CC-BB32-4124DAA48BA2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48-43CC-BB32-4124DAA48BA2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48-43CC-BB32-4124DAA48BA2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48-43CC-BB32-4124DAA48BA2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48-43CC-BB32-4124DAA48BA2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48-43CC-BB32-4124DAA48BA2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B48-43CC-BB32-4124DAA48BA2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48-43CC-BB32-4124DAA48BA2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48-43CC-BB32-4124DAA48BA2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48-43CC-BB32-4124DAA48B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'ASAI THAI'!$T$28:$AE$28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'ASAI THAI'!$T$34:$AE$34</c:f>
              <c:numCache>
                <c:formatCode>0.0%</c:formatCode>
                <c:ptCount val="12"/>
                <c:pt idx="0">
                  <c:v>0.95</c:v>
                </c:pt>
                <c:pt idx="1">
                  <c:v>0.92</c:v>
                </c:pt>
                <c:pt idx="2">
                  <c:v>0.95</c:v>
                </c:pt>
                <c:pt idx="3">
                  <c:v>0.92</c:v>
                </c:pt>
                <c:pt idx="4">
                  <c:v>1</c:v>
                </c:pt>
                <c:pt idx="5">
                  <c:v>0.92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B48-43CC-BB32-4124DAA48BA2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'ASAI THAI'!$T$30:$AE$30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B48-43CC-BB32-4124DAA48BA2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'ASAI THAI'!$T$29:$AE$29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48-43CC-BB32-4124DAA4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'ALMET THAI'!$S$34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E2-4E29-8AF6-F1896210B90C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E2-4E29-8AF6-F1896210B90C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E2-4E29-8AF6-F1896210B90C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E2-4E29-8AF6-F1896210B90C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E2-4E29-8AF6-F1896210B90C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E2-4E29-8AF6-F1896210B90C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E2-4E29-8AF6-F1896210B90C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E2-4E29-8AF6-F1896210B90C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E2-4E29-8AF6-F1896210B90C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E2-4E29-8AF6-F1896210B90C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E2-4E29-8AF6-F1896210B90C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E2-4E29-8AF6-F1896210B9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'ALMET THAI'!$T$28:$AE$28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'ALMET THAI'!$T$34:$AE$34</c:f>
              <c:numCache>
                <c:formatCode>0.0%</c:formatCode>
                <c:ptCount val="12"/>
                <c:pt idx="0">
                  <c:v>0.83333333333333337</c:v>
                </c:pt>
                <c:pt idx="1">
                  <c:v>0.88</c:v>
                </c:pt>
                <c:pt idx="2">
                  <c:v>0.83333333333333337</c:v>
                </c:pt>
                <c:pt idx="3">
                  <c:v>0.73333333333333328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0.76666666666666672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E2-4E29-8AF6-F1896210B90C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'ALMET THAI'!$T$30:$AE$30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8E2-4E29-8AF6-F1896210B90C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'ALMET THAI'!$T$29:$AE$29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E2-4E29-8AF6-F1896210B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BEDRA!$S$34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1D-4440-8731-22C1C2B73E57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1D-4440-8731-22C1C2B73E57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1D-4440-8731-22C1C2B73E57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1D-4440-8731-22C1C2B73E57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1D-4440-8731-22C1C2B73E57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1D-4440-8731-22C1C2B73E57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E1D-4440-8731-22C1C2B73E57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1D-4440-8731-22C1C2B73E57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E1D-4440-8731-22C1C2B73E57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1D-4440-8731-22C1C2B73E57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E1D-4440-8731-22C1C2B73E57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1D-4440-8731-22C1C2B73E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BEDRA!$T$28:$AE$28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BEDRA!$T$34:$AE$34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1D-4440-8731-22C1C2B73E57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BEDRA!$T$30:$AE$30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1D-4440-8731-22C1C2B73E57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BEDRA!$T$29:$AE$29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1D-4440-8731-22C1C2B7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BGH!$S$34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8C-4CB1-947F-C6A4CAF9593F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8C-4CB1-947F-C6A4CAF9593F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8C-4CB1-947F-C6A4CAF9593F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8C-4CB1-947F-C6A4CAF9593F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8C-4CB1-947F-C6A4CAF9593F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8C-4CB1-947F-C6A4CAF9593F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8C-4CB1-947F-C6A4CAF9593F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8C-4CB1-947F-C6A4CAF9593F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58C-4CB1-947F-C6A4CAF9593F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58C-4CB1-947F-C6A4CAF9593F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58C-4CB1-947F-C6A4CAF9593F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58C-4CB1-947F-C6A4CAF959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BGH!$T$28:$AE$28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BGH!$T$34:$AE$34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8C-4CB1-947F-C6A4CAF9593F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BGH!$T$30:$AE$30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8C-4CB1-947F-C6A4CAF9593F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BGH!$T$29:$AE$29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8C-4CB1-947F-C6A4CAF95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CAMELLIA!$S$34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59-43A5-B699-D6C8A0CFD488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59-43A5-B699-D6C8A0CFD488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59-43A5-B699-D6C8A0CFD488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59-43A5-B699-D6C8A0CFD488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59-43A5-B699-D6C8A0CFD488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59-43A5-B699-D6C8A0CFD488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59-43A5-B699-D6C8A0CFD488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59-43A5-B699-D6C8A0CFD488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59-43A5-B699-D6C8A0CFD488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59-43A5-B699-D6C8A0CFD488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59-43A5-B699-D6C8A0CFD488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59-43A5-B699-D6C8A0CFD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CAMELLIA!$T$28:$AE$28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CAMELLIA!$T$34:$AE$34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0.83333333333333337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59-43A5-B699-D6C8A0CFD488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CAMELLIA!$T$30:$AE$30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59-43A5-B699-D6C8A0CFD488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CAMELLIA!$T$29:$AE$29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59-43A5-B699-D6C8A0CF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DAIDO!$S$34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F1-4DC3-8FD4-66CBE23A69F2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1-4DC3-8FD4-66CBE23A69F2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F1-4DC3-8FD4-66CBE23A69F2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1-4DC3-8FD4-66CBE23A69F2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F1-4DC3-8FD4-66CBE23A69F2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1-4DC3-8FD4-66CBE23A69F2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F1-4DC3-8FD4-66CBE23A69F2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1-4DC3-8FD4-66CBE23A69F2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F1-4DC3-8FD4-66CBE23A69F2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F1-4DC3-8FD4-66CBE23A69F2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F1-4DC3-8FD4-66CBE23A69F2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6F1-4DC3-8FD4-66CBE23A69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DAIDO!$T$28:$AE$28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DAIDO!$T$34:$AE$34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0.92</c:v>
                </c:pt>
                <c:pt idx="3">
                  <c:v>0.83333333333333337</c:v>
                </c:pt>
                <c:pt idx="4">
                  <c:v>0.92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F1-4DC3-8FD4-66CBE23A69F2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DAIDO!$T$30:$AE$30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6F1-4DC3-8FD4-66CBE23A69F2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DAIDO!$T$29:$AE$29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F1-4DC3-8FD4-66CBE23A6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DONGGUAN!$S$34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E1-47E6-8698-0275FDF01836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E1-47E6-8698-0275FDF01836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E1-47E6-8698-0275FDF01836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E1-47E6-8698-0275FDF01836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E1-47E6-8698-0275FDF01836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E1-47E6-8698-0275FDF01836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E1-47E6-8698-0275FDF01836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E1-47E6-8698-0275FDF01836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E1-47E6-8698-0275FDF01836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E1-47E6-8698-0275FDF01836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8E1-47E6-8698-0275FDF01836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E1-47E6-8698-0275FDF018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DONGGUAN!$T$28:$AE$28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DONGGUAN!$T$34:$AE$34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0.92</c:v>
                </c:pt>
                <c:pt idx="3">
                  <c:v>0.83333333333333337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E1-47E6-8698-0275FDF01836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DONGGUAN!$T$30:$AE$30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8E1-47E6-8698-0275FDF01836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DONGGUAN!$T$29:$AE$29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E1-47E6-8698-0275FDF01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JIANGSU!$S$34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76-4116-9C94-A89D3F5B67A3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76-4116-9C94-A89D3F5B67A3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76-4116-9C94-A89D3F5B67A3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76-4116-9C94-A89D3F5B67A3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76-4116-9C94-A89D3F5B67A3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76-4116-9C94-A89D3F5B67A3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76-4116-9C94-A89D3F5B67A3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76-4116-9C94-A89D3F5B67A3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B76-4116-9C94-A89D3F5B67A3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76-4116-9C94-A89D3F5B67A3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B76-4116-9C94-A89D3F5B67A3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76-4116-9C94-A89D3F5B67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JIANGSU!$T$28:$AE$28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JIANGSU!$T$34:$AE$34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0.83333333333333337</c:v>
                </c:pt>
                <c:pt idx="4">
                  <c:v>0.92</c:v>
                </c:pt>
                <c:pt idx="5">
                  <c:v>0.92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76-4116-9C94-A89D3F5B67A3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JIANGSU!$T$30:$AE$30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76-4116-9C94-A89D3F5B67A3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JIANGSU!$T$29:$AE$29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76-4116-9C94-A89D3F5B6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KOMATSU!$S$34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7F-4E88-B3D6-344264E18D3B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7F-4E88-B3D6-344264E18D3B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7F-4E88-B3D6-344264E18D3B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7F-4E88-B3D6-344264E18D3B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7F-4E88-B3D6-344264E18D3B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7F-4E88-B3D6-344264E18D3B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7F-4E88-B3D6-344264E18D3B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7F-4E88-B3D6-344264E18D3B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7F-4E88-B3D6-344264E18D3B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7F-4E88-B3D6-344264E18D3B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7F-4E88-B3D6-344264E18D3B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7F-4E88-B3D6-344264E18D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KOMATSU!$T$28:$AE$28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KOMATSU!$T$34:$AE$34</c:f>
              <c:numCache>
                <c:formatCode>0.0%</c:formatCode>
                <c:ptCount val="12"/>
                <c:pt idx="0">
                  <c:v>0.95</c:v>
                </c:pt>
                <c:pt idx="1">
                  <c:v>1</c:v>
                </c:pt>
                <c:pt idx="2">
                  <c:v>0.95</c:v>
                </c:pt>
                <c:pt idx="3">
                  <c:v>0.95</c:v>
                </c:pt>
                <c:pt idx="4">
                  <c:v>1</c:v>
                </c:pt>
                <c:pt idx="5">
                  <c:v>1</c:v>
                </c:pt>
                <c:pt idx="6">
                  <c:v>0.95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7F-4E88-B3D6-344264E18D3B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KOMATSU!$T$30:$AE$30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7F-4E88-B3D6-344264E18D3B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KOMATSU!$T$29:$AE$29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7F-4E88-B3D6-344264E18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KYOTO!$S$34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15-4738-A21C-65EBF8227C44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15-4738-A21C-65EBF8227C44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15-4738-A21C-65EBF8227C44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15-4738-A21C-65EBF8227C44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15-4738-A21C-65EBF8227C44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15-4738-A21C-65EBF8227C44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15-4738-A21C-65EBF8227C44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15-4738-A21C-65EBF8227C44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15-4738-A21C-65EBF8227C44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15-4738-A21C-65EBF8227C44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15-4738-A21C-65EBF8227C44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15-4738-A21C-65EBF8227C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KYOTO!$T$28:$AE$28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KYOTO!$T$34:$AE$34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15-4738-A21C-65EBF8227C44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KYOTO!$T$30:$AE$30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715-4738-A21C-65EBF8227C44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KYOTO!$T$29:$AE$29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15-4738-A21C-65EBF822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LMAT!$S$34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48-45AB-A6F4-7568E7A85AB9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48-45AB-A6F4-7568E7A85AB9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48-45AB-A6F4-7568E7A85AB9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48-45AB-A6F4-7568E7A85AB9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48-45AB-A6F4-7568E7A85AB9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48-45AB-A6F4-7568E7A85AB9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48-45AB-A6F4-7568E7A85AB9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48-45AB-A6F4-7568E7A85AB9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48-45AB-A6F4-7568E7A85AB9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648-45AB-A6F4-7568E7A85AB9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648-45AB-A6F4-7568E7A85AB9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648-45AB-A6F4-7568E7A85A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LMAT!$T$28:$AE$28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LMAT!$T$34:$AE$34</c:f>
              <c:numCache>
                <c:formatCode>0.0%</c:formatCode>
                <c:ptCount val="12"/>
                <c:pt idx="0">
                  <c:v>1</c:v>
                </c:pt>
                <c:pt idx="1">
                  <c:v>0.83333333333333337</c:v>
                </c:pt>
                <c:pt idx="2">
                  <c:v>1</c:v>
                </c:pt>
                <c:pt idx="3">
                  <c:v>1</c:v>
                </c:pt>
                <c:pt idx="4">
                  <c:v>0.95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48-45AB-A6F4-7568E7A85AB9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LMAT!$T$30:$AE$30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48-45AB-A6F4-7568E7A85AB9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LMAT!$T$29:$AE$29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48-45AB-A6F4-7568E7A85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LOTUS!$S$34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F2-4C60-8DD9-EBB8180F4834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F2-4C60-8DD9-EBB8180F4834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F2-4C60-8DD9-EBB8180F4834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F2-4C60-8DD9-EBB8180F4834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F2-4C60-8DD9-EBB8180F4834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F2-4C60-8DD9-EBB8180F4834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F2-4C60-8DD9-EBB8180F4834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F2-4C60-8DD9-EBB8180F4834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F2-4C60-8DD9-EBB8180F4834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F2-4C60-8DD9-EBB8180F4834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4F2-4C60-8DD9-EBB8180F4834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F2-4C60-8DD9-EBB8180F48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LOTUS!$T$28:$AE$28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LOTUS!$T$34:$AE$34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F2-4C60-8DD9-EBB8180F4834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LOTUS!$T$30:$AE$30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4F2-4C60-8DD9-EBB8180F4834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LOTUS!$T$29:$AE$29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F2-4C60-8DD9-EBB8180F4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MENAM!$S$34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2D-4057-A136-59D4FCD335D4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2D-4057-A136-59D4FCD335D4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2D-4057-A136-59D4FCD335D4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2D-4057-A136-59D4FCD335D4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2D-4057-A136-59D4FCD335D4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2D-4057-A136-59D4FCD335D4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2D-4057-A136-59D4FCD335D4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2D-4057-A136-59D4FCD335D4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2D-4057-A136-59D4FCD335D4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2D-4057-A136-59D4FCD335D4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2D-4057-A136-59D4FCD335D4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2D-4057-A136-59D4FCD335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MENAM!$T$28:$AE$28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MENAM!$T$34:$AE$34</c:f>
              <c:numCache>
                <c:formatCode>0.0%</c:formatCode>
                <c:ptCount val="12"/>
                <c:pt idx="0">
                  <c:v>0.95</c:v>
                </c:pt>
                <c:pt idx="1">
                  <c:v>1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1</c:v>
                </c:pt>
                <c:pt idx="6">
                  <c:v>0.95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2D-4057-A136-59D4FCD335D4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MENAM!$T$30:$AE$30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2D-4057-A136-59D4FCD335D4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MENAM!$T$29:$AE$29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2D-4057-A136-59D4FCD33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'NIPPON STEEL'!$S$34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85-4DB2-A663-3CA9B5C9351D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85-4DB2-A663-3CA9B5C9351D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85-4DB2-A663-3CA9B5C9351D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85-4DB2-A663-3CA9B5C9351D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85-4DB2-A663-3CA9B5C9351D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85-4DB2-A663-3CA9B5C9351D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85-4DB2-A663-3CA9B5C9351D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85-4DB2-A663-3CA9B5C9351D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85-4DB2-A663-3CA9B5C9351D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85-4DB2-A663-3CA9B5C9351D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85-4DB2-A663-3CA9B5C9351D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185-4DB2-A663-3CA9B5C935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'NIPPON STEEL'!$T$28:$AE$28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'NIPPON STEEL'!$T$34:$AE$34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85-4DB2-A663-3CA9B5C9351D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'NIPPON STEEL'!$T$30:$AE$30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85-4DB2-A663-3CA9B5C9351D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'NIPPON STEEL'!$T$29:$AE$29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85-4DB2-A663-3CA9B5C93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NSL!$S$34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B5-41E1-AE72-4211879579CD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B5-41E1-AE72-4211879579CD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B5-41E1-AE72-4211879579CD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B5-41E1-AE72-4211879579CD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B5-41E1-AE72-4211879579CD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B5-41E1-AE72-4211879579CD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B5-41E1-AE72-4211879579CD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B5-41E1-AE72-4211879579CD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B5-41E1-AE72-4211879579CD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B5-41E1-AE72-4211879579CD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B5-41E1-AE72-4211879579CD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B5-41E1-AE72-4211879579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NSL!$T$28:$AE$28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NSL!$T$34:$AE$34</c:f>
              <c:numCache>
                <c:formatCode>0.0%</c:formatCode>
                <c:ptCount val="12"/>
                <c:pt idx="0">
                  <c:v>0.86</c:v>
                </c:pt>
                <c:pt idx="1">
                  <c:v>0.88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B5-41E1-AE72-4211879579CD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NSL!$T$30:$AE$30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B5-41E1-AE72-4211879579CD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NSL!$T$29:$AE$29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B5-41E1-AE72-421187957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'OKAYA P+M'!$S$34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FD-43FA-AF19-0A0ED01CEF77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FD-43FA-AF19-0A0ED01CEF77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FD-43FA-AF19-0A0ED01CEF77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FD-43FA-AF19-0A0ED01CEF77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FD-43FA-AF19-0A0ED01CEF77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FD-43FA-AF19-0A0ED01CEF77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FD-43FA-AF19-0A0ED01CEF77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FD-43FA-AF19-0A0ED01CEF77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FD-43FA-AF19-0A0ED01CEF77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FD-43FA-AF19-0A0ED01CEF77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0FD-43FA-AF19-0A0ED01CEF77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FD-43FA-AF19-0A0ED01CEF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'OKAYA P+M'!$T$28:$AE$28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'OKAYA P+M'!$T$34:$AE$34</c:f>
              <c:numCache>
                <c:formatCode>0.0%</c:formatCode>
                <c:ptCount val="12"/>
                <c:pt idx="0">
                  <c:v>1</c:v>
                </c:pt>
                <c:pt idx="1">
                  <c:v>0.99</c:v>
                </c:pt>
                <c:pt idx="2">
                  <c:v>0.99</c:v>
                </c:pt>
                <c:pt idx="3">
                  <c:v>1</c:v>
                </c:pt>
                <c:pt idx="4">
                  <c:v>0.98</c:v>
                </c:pt>
                <c:pt idx="5">
                  <c:v>0.97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FD-43FA-AF19-0A0ED01CEF77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'OKAYA P+M'!$T$30:$AE$30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FD-43FA-AF19-0A0ED01CEF77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'OKAYA P+M'!$T$29:$AE$29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FD-43FA-AF19-0A0ED01CE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SAKUMA!$S$34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DB-4C1B-80B8-D1249C0B3065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DB-4C1B-80B8-D1249C0B3065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DB-4C1B-80B8-D1249C0B3065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DB-4C1B-80B8-D1249C0B3065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DB-4C1B-80B8-D1249C0B3065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DB-4C1B-80B8-D1249C0B3065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CDB-4C1B-80B8-D1249C0B3065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DB-4C1B-80B8-D1249C0B3065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CDB-4C1B-80B8-D1249C0B3065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DB-4C1B-80B8-D1249C0B3065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CDB-4C1B-80B8-D1249C0B3065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CDB-4C1B-80B8-D1249C0B30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SAKUMA!$T$28:$AE$28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SAKUMA!$T$34:$AE$34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DB-4C1B-80B8-D1249C0B3065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SAKUMA!$T$30:$AE$30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CDB-4C1B-80B8-D1249C0B3065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SAKUMA!$T$29:$AE$29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DB-4C1B-80B8-D1249C0B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'SHINSHO THAI'!$S$34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03-4C30-A31F-8814D86F14FE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03-4C30-A31F-8814D86F14FE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03-4C30-A31F-8814D86F14FE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03-4C30-A31F-8814D86F14FE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03-4C30-A31F-8814D86F14FE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03-4C30-A31F-8814D86F14FE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03-4C30-A31F-8814D86F14FE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03-4C30-A31F-8814D86F14FE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03-4C30-A31F-8814D86F14FE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03-4C30-A31F-8814D86F14FE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03-4C30-A31F-8814D86F14FE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03-4C30-A31F-8814D86F14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'SHINSHO THAI'!$T$28:$AE$28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'SHINSHO THAI'!$T$34:$AE$34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0.88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0.83333333333333337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03-4C30-A31F-8814D86F14FE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'SHINSHO THAI'!$T$30:$AE$30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03-4C30-A31F-8814D86F14FE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'SHINSHO THAI'!$T$29:$AE$29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03-4C30-A31F-8814D86F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'SHINSHO COR P+M'!$S$34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EB-4A1F-9A0A-777D385D7D65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EB-4A1F-9A0A-777D385D7D65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EB-4A1F-9A0A-777D385D7D65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EB-4A1F-9A0A-777D385D7D65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EB-4A1F-9A0A-777D385D7D65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EB-4A1F-9A0A-777D385D7D65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EB-4A1F-9A0A-777D385D7D65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EB-4A1F-9A0A-777D385D7D65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EB-4A1F-9A0A-777D385D7D65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EB-4A1F-9A0A-777D385D7D65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EB-4A1F-9A0A-777D385D7D65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EB-4A1F-9A0A-777D385D7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'SHINSHO COR P+M'!$T$28:$AE$28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'SHINSHO COR P+M'!$T$34:$AE$34</c:f>
              <c:numCache>
                <c:formatCode>0.0%</c:formatCode>
                <c:ptCount val="12"/>
                <c:pt idx="0">
                  <c:v>1</c:v>
                </c:pt>
                <c:pt idx="1">
                  <c:v>0.96</c:v>
                </c:pt>
                <c:pt idx="2">
                  <c:v>0.83333333333333337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EB-4A1F-9A0A-777D385D7D65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'SHINSHO COR P+M'!$T$30:$AE$30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FEB-4A1F-9A0A-777D385D7D65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'SHINSHO COR P+M'!$T$29:$AE$29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EB-4A1F-9A0A-777D385D7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STEELTEC!$S$34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AF-4ED7-9CAF-C778441F6267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AF-4ED7-9CAF-C778441F6267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AF-4ED7-9CAF-C778441F6267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AF-4ED7-9CAF-C778441F6267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AF-4ED7-9CAF-C778441F6267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AF-4ED7-9CAF-C778441F6267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AF-4ED7-9CAF-C778441F6267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AF-4ED7-9CAF-C778441F6267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AF-4ED7-9CAF-C778441F6267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AF-4ED7-9CAF-C778441F6267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AF-4ED7-9CAF-C778441F6267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AF-4ED7-9CAF-C778441F62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STEELTEC!$T$28:$AE$28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STEELTEC!$T$34:$AE$34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0.87</c:v>
                </c:pt>
                <c:pt idx="4">
                  <c:v>0.92</c:v>
                </c:pt>
                <c:pt idx="5">
                  <c:v>0.83333333333333337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AF-4ED7-9CAF-C778441F6267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STEELTEC!$T$30:$AE$30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AAF-4ED7-9CAF-C778441F6267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STEELTEC!$T$29:$AE$29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AF-4ED7-9CAF-C778441F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TSK!$S$34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CA-489B-B7AD-606A60F43588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CA-489B-B7AD-606A60F43588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CA-489B-B7AD-606A60F43588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CA-489B-B7AD-606A60F43588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CA-489B-B7AD-606A60F43588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CA-489B-B7AD-606A60F43588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CA-489B-B7AD-606A60F43588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CA-489B-B7AD-606A60F43588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CA-489B-B7AD-606A60F43588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CA-489B-B7AD-606A60F43588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CA-489B-B7AD-606A60F43588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CA-489B-B7AD-606A60F435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TSK!$T$28:$AE$28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TSK!$T$34:$AE$34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0.76666666666666672</c:v>
                </c:pt>
                <c:pt idx="2">
                  <c:v>0.92</c:v>
                </c:pt>
                <c:pt idx="3">
                  <c:v>0.9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CA-489B-B7AD-606A60F43588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TSK!$T$30:$AE$30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CA-489B-B7AD-606A60F43588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TSK!$T$29:$AE$29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CA-489B-B7AD-606A60F43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UGITECH!$S$34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6A-45F4-8270-42C98AA4A59E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6A-45F4-8270-42C98AA4A59E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6A-45F4-8270-42C98AA4A59E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6A-45F4-8270-42C98AA4A59E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6A-45F4-8270-42C98AA4A59E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6A-45F4-8270-42C98AA4A59E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6A-45F4-8270-42C98AA4A59E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6A-45F4-8270-42C98AA4A59E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6A-45F4-8270-42C98AA4A59E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6A-45F4-8270-42C98AA4A59E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B6A-45F4-8270-42C98AA4A59E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B6A-45F4-8270-42C98AA4A5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UGITECH!$T$28:$AE$28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UGITECH!$T$34:$AE$34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0.91</c:v>
                </c:pt>
                <c:pt idx="4">
                  <c:v>0.92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6A-45F4-8270-42C98AA4A59E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UGITECH!$T$30:$AE$30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6A-45F4-8270-42C98AA4A59E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UGITECH!$T$29:$AE$29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6A-45F4-8270-42C98AA4A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VOESTALPINE!$S$34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47-493D-8190-47ADE2E5D2A0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47-493D-8190-47ADE2E5D2A0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47-493D-8190-47ADE2E5D2A0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47-493D-8190-47ADE2E5D2A0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47-493D-8190-47ADE2E5D2A0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47-493D-8190-47ADE2E5D2A0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47-493D-8190-47ADE2E5D2A0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47-493D-8190-47ADE2E5D2A0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47-493D-8190-47ADE2E5D2A0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47-493D-8190-47ADE2E5D2A0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47-493D-8190-47ADE2E5D2A0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547-493D-8190-47ADE2E5D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VOESTALPINE!$T$28:$AE$28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VOESTALPINE!$T$34:$AE$34</c:f>
              <c:numCache>
                <c:formatCode>0.0%</c:formatCode>
                <c:ptCount val="12"/>
                <c:pt idx="0">
                  <c:v>0.92</c:v>
                </c:pt>
                <c:pt idx="1">
                  <c:v>0.83333333333333337</c:v>
                </c:pt>
                <c:pt idx="2">
                  <c:v>1</c:v>
                </c:pt>
                <c:pt idx="3">
                  <c:v>0.83333333333333337</c:v>
                </c:pt>
                <c:pt idx="4">
                  <c:v>0.95</c:v>
                </c:pt>
                <c:pt idx="5">
                  <c:v>0.89</c:v>
                </c:pt>
                <c:pt idx="6">
                  <c:v>0.89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47-493D-8190-47ADE2E5D2A0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VOESTALPINE!$T$30:$AE$30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547-493D-8190-47ADE2E5D2A0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VOESTALPINE!$T$29:$AE$29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47-493D-8190-47ADE2E5D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'No eva. NST'!$S$34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E1-4C6C-9379-665B708935B2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E1-4C6C-9379-665B708935B2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1-4C6C-9379-665B708935B2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1-4C6C-9379-665B708935B2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1-4C6C-9379-665B708935B2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1-4C6C-9379-665B708935B2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E1-4C6C-9379-665B708935B2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E1-4C6C-9379-665B708935B2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E1-4C6C-9379-665B708935B2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E1-4C6C-9379-665B708935B2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E1-4C6C-9379-665B708935B2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E1-4C6C-9379-665B70893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 eva. NST'!$T$28:$AE$28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'No eva. NST'!$T$34:$AE$34</c:f>
              <c:numCache>
                <c:formatCode>0.0%</c:formatCode>
                <c:ptCount val="12"/>
                <c:pt idx="0">
                  <c:v>0.83333333333333337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0.83333333333333337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2E1-4C6C-9379-665B708935B2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'No eva. NST'!$T$30:$AE$30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2E1-4C6C-9379-665B708935B2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'No eva. NST'!$T$29:$AE$29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E1-4C6C-9379-665B70893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Evaluation</a:t>
            </a:r>
            <a:r>
              <a:rPr lang="en-US" baseline="0">
                <a:solidFill>
                  <a:sysClr val="windowText" lastClr="000000"/>
                </a:solidFill>
              </a:rPr>
              <a:t> result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1.149622319789932E-2"/>
          <c:y val="1.8819787102047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19279357103445E-2"/>
          <c:y val="0.15243064287803834"/>
          <c:w val="0.90242910746403138"/>
          <c:h val="0.67837984263618178"/>
        </c:manualLayout>
      </c:layout>
      <c:lineChart>
        <c:grouping val="standard"/>
        <c:varyColors val="0"/>
        <c:ser>
          <c:idx val="1"/>
          <c:order val="0"/>
          <c:tx>
            <c:strRef>
              <c:f>'No eva YAMAICHI'!$S$34</c:f>
              <c:strCache>
                <c:ptCount val="1"/>
                <c:pt idx="0">
                  <c:v>Result (%)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29830829759234E-2"/>
                  <c:y val="-3.0111804894472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72-4D32-8191-2BC3E14BA5E2}"/>
                </c:ext>
              </c:extLst>
            </c:dLbl>
            <c:dLbl>
              <c:idx val="1"/>
              <c:layout>
                <c:manualLayout>
                  <c:x val="-4.0892846725503897E-2"/>
                  <c:y val="-4.140373172989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72-4D32-8191-2BC3E14BA5E2}"/>
                </c:ext>
              </c:extLst>
            </c:dLbl>
            <c:dLbl>
              <c:idx val="2"/>
              <c:layout>
                <c:manualLayout>
                  <c:x val="-3.8487488993313626E-2"/>
                  <c:y val="-3.6250741384599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72-4D32-8191-2BC3E14BA5E2}"/>
                </c:ext>
              </c:extLst>
            </c:dLbl>
            <c:dLbl>
              <c:idx val="3"/>
              <c:layout>
                <c:manualLayout>
                  <c:x val="-1.7648865027720201E-2"/>
                  <c:y val="-3.7311470086857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72-4D32-8191-2BC3E14BA5E2}"/>
                </c:ext>
              </c:extLst>
            </c:dLbl>
            <c:dLbl>
              <c:idx val="4"/>
              <c:layout>
                <c:manualLayout>
                  <c:x val="-3.2012974887236506E-2"/>
                  <c:y val="-3.4461130503017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72-4D32-8191-2BC3E14BA5E2}"/>
                </c:ext>
              </c:extLst>
            </c:dLbl>
            <c:dLbl>
              <c:idx val="5"/>
              <c:layout>
                <c:manualLayout>
                  <c:x val="-3.9746719852391185E-2"/>
                  <c:y val="-3.4364261168384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72-4D32-8191-2BC3E14BA5E2}"/>
                </c:ext>
              </c:extLst>
            </c:dLbl>
            <c:dLbl>
              <c:idx val="6"/>
              <c:layout>
                <c:manualLayout>
                  <c:x val="-3.9729332835832833E-2"/>
                  <c:y val="-4.0476229131152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72-4D32-8191-2BC3E14BA5E2}"/>
                </c:ext>
              </c:extLst>
            </c:dLbl>
            <c:dLbl>
              <c:idx val="7"/>
              <c:layout>
                <c:manualLayout>
                  <c:x val="-3.7979503489400435E-2"/>
                  <c:y val="-3.794572070243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72-4D32-8191-2BC3E14BA5E2}"/>
                </c:ext>
              </c:extLst>
            </c:dLbl>
            <c:dLbl>
              <c:idx val="8"/>
              <c:layout>
                <c:manualLayout>
                  <c:x val="-4.1953827734308308E-2"/>
                  <c:y val="-3.7474632681224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72-4D32-8191-2BC3E14BA5E2}"/>
                </c:ext>
              </c:extLst>
            </c:dLbl>
            <c:dLbl>
              <c:idx val="9"/>
              <c:layout>
                <c:manualLayout>
                  <c:x val="-4.1964607684574481E-2"/>
                  <c:y val="-3.7420245149768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72-4D32-8191-2BC3E14BA5E2}"/>
                </c:ext>
              </c:extLst>
            </c:dLbl>
            <c:dLbl>
              <c:idx val="10"/>
              <c:layout>
                <c:manualLayout>
                  <c:x val="-4.4157632083079337E-2"/>
                  <c:y val="-3.736585761831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72-4D32-8191-2BC3E14BA5E2}"/>
                </c:ext>
              </c:extLst>
            </c:dLbl>
            <c:dLbl>
              <c:idx val="11"/>
              <c:layout>
                <c:manualLayout>
                  <c:x val="-3.7535265216334476E-2"/>
                  <c:y val="-3.4799090835295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72-4D32-8191-2BC3E14BA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 eva YAMAICHI'!$T$28:$AE$28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'No eva YAMAICHI'!$T$34:$AE$34</c:f>
              <c:numCache>
                <c:formatCode>0.0%</c:formatCode>
                <c:ptCount val="12"/>
                <c:pt idx="0">
                  <c:v>0.83333333333333337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0.83333333333333337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72-4D32-8191-2BC3E14BA5E2}"/>
            </c:ext>
          </c:extLst>
        </c:ser>
        <c:ser>
          <c:idx val="0"/>
          <c:order val="1"/>
          <c:tx>
            <c:v>Target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33CC"/>
              </a:solidFill>
              <a:ln w="19050">
                <a:solidFill>
                  <a:srgbClr val="0033CC"/>
                </a:solidFill>
              </a:ln>
              <a:effectLst/>
            </c:spPr>
          </c:marker>
          <c:val>
            <c:numRef>
              <c:f>'No eva YAMAICHI'!$T$30:$AE$30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72-4D32-8191-2BC3E14BA5E2}"/>
            </c:ext>
          </c:extLst>
        </c:ser>
        <c:ser>
          <c:idx val="2"/>
          <c:order val="2"/>
          <c:tx>
            <c:v>Excellent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'No eva YAMAICHI'!$T$29:$AE$29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72-4D32-8191-2BC3E14BA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6703"/>
        <c:axId val="853371375"/>
      </c:lineChart>
      <c:catAx>
        <c:axId val="1165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71375"/>
        <c:crosses val="autoZero"/>
        <c:auto val="1"/>
        <c:lblAlgn val="ctr"/>
        <c:lblOffset val="100"/>
        <c:noMultiLvlLbl val="0"/>
      </c:catAx>
      <c:valAx>
        <c:axId val="853371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0836100561178"/>
          <c:y val="0.92036909485574192"/>
          <c:w val="0.47664353635429002"/>
          <c:h val="6.351753301332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3.xml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4.xml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5.xml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7.xml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8.xml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9.xml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0.xml"/><Relationship Id="rId4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1.xml"/><Relationship Id="rId4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2.xml"/><Relationship Id="rId4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3.xml"/><Relationship Id="rId4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4.xml"/><Relationship Id="rId4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5.xml"/><Relationship Id="rId4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6.xml"/><Relationship Id="rId4" Type="http://schemas.openxmlformats.org/officeDocument/2006/relationships/image" Target="../media/image4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7.xml"/><Relationship Id="rId4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8.xml"/><Relationship Id="rId4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9.xml"/><Relationship Id="rId4" Type="http://schemas.openxmlformats.org/officeDocument/2006/relationships/image" Target="../media/image4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0.xml"/><Relationship Id="rId4" Type="http://schemas.openxmlformats.org/officeDocument/2006/relationships/image" Target="../media/image4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1.xml"/><Relationship Id="rId4" Type="http://schemas.openxmlformats.org/officeDocument/2006/relationships/image" Target="../media/image4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2.xml"/><Relationship Id="rId4" Type="http://schemas.openxmlformats.org/officeDocument/2006/relationships/image" Target="../media/image4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3.xml"/><Relationship Id="rId4" Type="http://schemas.openxmlformats.org/officeDocument/2006/relationships/image" Target="../media/image4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4.xml"/><Relationship Id="rId4" Type="http://schemas.openxmlformats.org/officeDocument/2006/relationships/image" Target="../media/image4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5.xml"/><Relationship Id="rId4" Type="http://schemas.openxmlformats.org/officeDocument/2006/relationships/image" Target="../media/image4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6.xml"/><Relationship Id="rId4" Type="http://schemas.openxmlformats.org/officeDocument/2006/relationships/image" Target="../media/image4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7.xml"/><Relationship Id="rId4" Type="http://schemas.openxmlformats.org/officeDocument/2006/relationships/image" Target="../media/image4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8.xml"/><Relationship Id="rId4" Type="http://schemas.openxmlformats.org/officeDocument/2006/relationships/image" Target="../media/image4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29.xml"/><Relationship Id="rId4" Type="http://schemas.openxmlformats.org/officeDocument/2006/relationships/image" Target="../media/image4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30.xml"/><Relationship Id="rId4" Type="http://schemas.openxmlformats.org/officeDocument/2006/relationships/image" Target="../media/image4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31.xml"/><Relationship Id="rId4" Type="http://schemas.openxmlformats.org/officeDocument/2006/relationships/image" Target="../media/image4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32.xml"/><Relationship Id="rId4" Type="http://schemas.openxmlformats.org/officeDocument/2006/relationships/image" Target="../media/image4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33.xml"/><Relationship Id="rId4" Type="http://schemas.openxmlformats.org/officeDocument/2006/relationships/image" Target="../media/image4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AC36D055-9092-4DCB-A06A-E8B3DFB91C6F}"/>
            </a:ext>
          </a:extLst>
        </xdr:cNvPr>
        <xdr:cNvSpPr txBox="1">
          <a:spLocks noChangeArrowheads="1"/>
        </xdr:cNvSpPr>
      </xdr:nvSpPr>
      <xdr:spPr bwMode="auto">
        <a:xfrm>
          <a:off x="7134225" y="2638425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E69739B-658C-4B40-B574-99802C890D0D}"/>
            </a:ext>
          </a:extLst>
        </xdr:cNvPr>
        <xdr:cNvSpPr txBox="1">
          <a:spLocks noChangeArrowheads="1"/>
        </xdr:cNvSpPr>
      </xdr:nvSpPr>
      <xdr:spPr bwMode="auto">
        <a:xfrm>
          <a:off x="7172325" y="2638425"/>
          <a:ext cx="476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DB485A09-EE27-4C46-B65F-FED66A4629DD}"/>
            </a:ext>
          </a:extLst>
        </xdr:cNvPr>
        <xdr:cNvSpPr>
          <a:spLocks noChangeArrowheads="1"/>
        </xdr:cNvSpPr>
      </xdr:nvSpPr>
      <xdr:spPr bwMode="auto">
        <a:xfrm>
          <a:off x="10511117" y="8404412"/>
          <a:ext cx="236201" cy="51267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6F91D6-F44F-4E81-B449-0CF61FCBF37A}"/>
            </a:ext>
            <a:ext uri="{147F2762-F138-4A5C-976F-8EAC2B608ADB}">
              <a16:predDERef xmlns:a16="http://schemas.microsoft.com/office/drawing/2014/main" pred="{DB485A09-EE27-4C46-B65F-FED66A462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8449C3-800D-46C8-AB6A-42F85FCB8CE5}"/>
            </a:ext>
          </a:extLst>
        </xdr:cNvPr>
        <xdr:cNvSpPr txBox="1"/>
      </xdr:nvSpPr>
      <xdr:spPr>
        <a:xfrm>
          <a:off x="12817899" y="1975402"/>
          <a:ext cx="599514" cy="20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F515F11-77E2-4305-B9A2-4784C1F2EA2A}"/>
            </a:ext>
          </a:extLst>
        </xdr:cNvPr>
        <xdr:cNvSpPr txBox="1"/>
      </xdr:nvSpPr>
      <xdr:spPr>
        <a:xfrm>
          <a:off x="12725400" y="1498226"/>
          <a:ext cx="695325" cy="262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32</xdr:col>
      <xdr:colOff>574109</xdr:colOff>
      <xdr:row>12</xdr:row>
      <xdr:rowOff>52191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57E94-6DFC-4AD6-935A-D4BBDB71D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-285750</xdr:colOff>
      <xdr:row>4</xdr:row>
      <xdr:rowOff>352425</xdr:rowOff>
    </xdr:from>
    <xdr:to>
      <xdr:col>0</xdr:col>
      <xdr:colOff>-285750</xdr:colOff>
      <xdr:row>4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C56A65-C0EC-4530-A932-038BD240B1AB}"/>
            </a:ext>
            <a:ext uri="{147F2762-F138-4A5C-976F-8EAC2B608ADB}">
              <a16:predDERef xmlns:a16="http://schemas.microsoft.com/office/drawing/2014/main" pred="{8C057E94-6DFC-4AD6-935A-D4BBDB71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285750" y="20669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29</xdr:col>
      <xdr:colOff>485775</xdr:colOff>
      <xdr:row>47</xdr:row>
      <xdr:rowOff>9525</xdr:rowOff>
    </xdr:from>
    <xdr:to>
      <xdr:col>32</xdr:col>
      <xdr:colOff>200025</xdr:colOff>
      <xdr:row>49</xdr:row>
      <xdr:rowOff>285750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FA4D63-1B3C-43D7-BF43-152E9ACC7930}"/>
            </a:ext>
            <a:ext uri="{147F2762-F138-4A5C-976F-8EAC2B608ADB}">
              <a16:predDERef xmlns:a16="http://schemas.microsoft.com/office/drawing/2014/main" pred="{CAC56A65-C0EC-4530-A932-038BD240B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64200" y="13763625"/>
          <a:ext cx="923925" cy="923925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381000</xdr:colOff>
      <xdr:row>47</xdr:row>
      <xdr:rowOff>0</xdr:rowOff>
    </xdr:from>
    <xdr:to>
      <xdr:col>27</xdr:col>
      <xdr:colOff>609600</xdr:colOff>
      <xdr:row>49</xdr:row>
      <xdr:rowOff>285750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3FF04D-5FCC-2C8C-896A-3167390482A5}"/>
            </a:ext>
            <a:ext uri="{147F2762-F138-4A5C-976F-8EAC2B608ADB}">
              <a16:predDERef xmlns:a16="http://schemas.microsoft.com/office/drawing/2014/main" pred="{FBFA4D63-1B3C-43D7-BF43-152E9ACC7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25850" y="137541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22</xdr:col>
      <xdr:colOff>419100</xdr:colOff>
      <xdr:row>47</xdr:row>
      <xdr:rowOff>28575</xdr:rowOff>
    </xdr:from>
    <xdr:to>
      <xdr:col>24</xdr:col>
      <xdr:colOff>314325</xdr:colOff>
      <xdr:row>49</xdr:row>
      <xdr:rowOff>304800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E0C353-9E67-B528-A4F2-4ABFEE9DA5A9}"/>
            </a:ext>
            <a:ext uri="{147F2762-F138-4A5C-976F-8EAC2B608ADB}">
              <a16:predDERef xmlns:a16="http://schemas.microsoft.com/office/drawing/2014/main" pred="{823FF04D-5FCC-2C8C-896A-316739048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06550" y="13782675"/>
          <a:ext cx="923925" cy="923925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0.00574</cdr:x>
      <cdr:y>0.02264</cdr:y>
    </cdr:from>
    <cdr:to>
      <cdr:x>0.05237</cdr:x>
      <cdr:y>0.10538</cdr:y>
    </cdr:to>
    <cdr:sp macro="" textlink="">
      <cdr:nvSpPr>
        <cdr:cNvPr id="2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3450" y="92322"/>
          <a:ext cx="921776" cy="3374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Score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32</xdr:col>
      <xdr:colOff>574109</xdr:colOff>
      <xdr:row>12</xdr:row>
      <xdr:rowOff>52191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2C0F4-C129-4D48-9EB9-7A472FE9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371475</xdr:colOff>
      <xdr:row>40</xdr:row>
      <xdr:rowOff>161925</xdr:rowOff>
    </xdr:from>
    <xdr:to>
      <xdr:col>32</xdr:col>
      <xdr:colOff>85725</xdr:colOff>
      <xdr:row>42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ABAC20-E2BF-AEDC-71DA-84D48FA9AD14}"/>
            </a:ext>
            <a:ext uri="{147F2762-F138-4A5C-976F-8EAC2B608ADB}">
              <a16:predDERef xmlns:a16="http://schemas.microsoft.com/office/drawing/2014/main" pred="{9EF2C0F4-C129-4D48-9EB9-7A472FE9A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35625" y="12449175"/>
          <a:ext cx="923925" cy="923925"/>
        </a:xfrm>
        <a:prstGeom prst="rect">
          <a:avLst/>
        </a:prstGeom>
      </xdr:spPr>
    </xdr:pic>
    <xdr:clientData/>
  </xdr:twoCellAnchor>
  <xdr:twoCellAnchor editAs="oneCell">
    <xdr:from>
      <xdr:col>26</xdr:col>
      <xdr:colOff>323850</xdr:colOff>
      <xdr:row>40</xdr:row>
      <xdr:rowOff>66675</xdr:rowOff>
    </xdr:from>
    <xdr:to>
      <xdr:col>28</xdr:col>
      <xdr:colOff>104775</xdr:colOff>
      <xdr:row>42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189409-DEAA-456A-85F6-9968395608AE}"/>
            </a:ext>
            <a:ext uri="{147F2762-F138-4A5C-976F-8EAC2B608ADB}">
              <a16:predDERef xmlns:a16="http://schemas.microsoft.com/office/drawing/2014/main" pred="{CFABAC20-E2BF-AEDC-71DA-84D48FA9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44925" y="12353925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23</xdr:col>
      <xdr:colOff>66675</xdr:colOff>
      <xdr:row>40</xdr:row>
      <xdr:rowOff>57150</xdr:rowOff>
    </xdr:from>
    <xdr:to>
      <xdr:col>25</xdr:col>
      <xdr:colOff>180975</xdr:colOff>
      <xdr:row>42</xdr:row>
      <xdr:rowOff>381000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926D85-E091-44CC-B336-94802A5F8FDE}"/>
            </a:ext>
            <a:ext uri="{147F2762-F138-4A5C-976F-8EAC2B608ADB}">
              <a16:predDERef xmlns:a16="http://schemas.microsoft.com/office/drawing/2014/main" pred="{2E189409-DEAA-456A-85F6-996839560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44700" y="12344400"/>
          <a:ext cx="1143000" cy="11430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0.00574</cdr:x>
      <cdr:y>0.02264</cdr:y>
    </cdr:from>
    <cdr:to>
      <cdr:x>0.05237</cdr:x>
      <cdr:y>0.10538</cdr:y>
    </cdr:to>
    <cdr:sp macro="" textlink="">
      <cdr:nvSpPr>
        <cdr:cNvPr id="2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3450" y="92322"/>
          <a:ext cx="921776" cy="3374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Score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E5606056-D90B-4219-A533-20F779051AC3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4B0B1DB-EB0B-4C45-8AF6-260BAACB985E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69F4AA79-6A15-4EDA-A31F-0FEE452C6E0B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29122F-AEE2-4345-9DB2-D829ACC0D443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02BCFD-A854-42E7-AB93-BEA4DF5B447A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11B6EA6-35CD-4B2C-9EE1-D5CA14838C34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276225</xdr:colOff>
      <xdr:row>46</xdr:row>
      <xdr:rowOff>66675</xdr:rowOff>
    </xdr:from>
    <xdr:to>
      <xdr:col>15</xdr:col>
      <xdr:colOff>95250</xdr:colOff>
      <xdr:row>51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D1BCB4-81C5-4DE3-0C2B-F4E5BE7E2172}"/>
            </a:ext>
            <a:ext uri="{147F2762-F138-4A5C-976F-8EAC2B608ADB}">
              <a16:predDERef xmlns:a16="http://schemas.microsoft.com/office/drawing/2014/main" pred="{A11B6EA6-35CD-4B2C-9EE1-D5CA14838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285750</xdr:colOff>
      <xdr:row>46</xdr:row>
      <xdr:rowOff>114300</xdr:rowOff>
    </xdr:from>
    <xdr:to>
      <xdr:col>18</xdr:col>
      <xdr:colOff>752475</xdr:colOff>
      <xdr:row>51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9DBEF8-DB4F-10E1-843A-258BF7F6CA37}"/>
            </a:ext>
            <a:ext uri="{147F2762-F138-4A5C-976F-8EAC2B608ADB}">
              <a16:predDERef xmlns:a16="http://schemas.microsoft.com/office/drawing/2014/main" pred="{B6D1BCB4-81C5-4DE3-0C2B-F4E5BE7E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72400" y="9906000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285750</xdr:colOff>
      <xdr:row>46</xdr:row>
      <xdr:rowOff>76200</xdr:rowOff>
    </xdr:from>
    <xdr:to>
      <xdr:col>22</xdr:col>
      <xdr:colOff>371475</xdr:colOff>
      <xdr:row>51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215017-150B-4AAB-B7B2-1852DB291AAA}"/>
            </a:ext>
            <a:ext uri="{147F2762-F138-4A5C-976F-8EAC2B608ADB}">
              <a16:predDERef xmlns:a16="http://schemas.microsoft.com/office/drawing/2014/main" pred="{279DBEF8-DB4F-10E1-843A-258BF7F6C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4050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FC666528-D633-4E8E-A60D-55EF3D199837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6DE813E-B1E6-415C-A286-461681A4631D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60F153C3-547F-47EB-91D3-CAE630EE08B6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F5C823-1D65-405D-8B5C-2F11C38F9D66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D3DBAC-E016-45F3-849A-625BB9902668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840C5E-9752-49C1-AA02-A57C40325680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228600</xdr:colOff>
      <xdr:row>46</xdr:row>
      <xdr:rowOff>66675</xdr:rowOff>
    </xdr:from>
    <xdr:to>
      <xdr:col>15</xdr:col>
      <xdr:colOff>47625</xdr:colOff>
      <xdr:row>51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CBDA41-949C-4F82-ADA2-905204CEAF74}"/>
            </a:ext>
            <a:ext uri="{147F2762-F138-4A5C-976F-8EAC2B608ADB}">
              <a16:predDERef xmlns:a16="http://schemas.microsoft.com/office/drawing/2014/main" pred="{9A840C5E-9752-49C1-AA02-A57C4032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46</xdr:row>
      <xdr:rowOff>47625</xdr:rowOff>
    </xdr:from>
    <xdr:to>
      <xdr:col>18</xdr:col>
      <xdr:colOff>914400</xdr:colOff>
      <xdr:row>51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8033F6-5AE2-4463-B26C-B8F1EA94479A}"/>
            </a:ext>
            <a:ext uri="{147F2762-F138-4A5C-976F-8EAC2B608ADB}">
              <a16:predDERef xmlns:a16="http://schemas.microsoft.com/office/drawing/2014/main" pred="{13CBDA41-949C-4F82-ADA2-905204CE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9075" y="9839325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400050</xdr:colOff>
      <xdr:row>46</xdr:row>
      <xdr:rowOff>47625</xdr:rowOff>
    </xdr:from>
    <xdr:to>
      <xdr:col>23</xdr:col>
      <xdr:colOff>66675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7E90CF-9865-44D5-8E2D-1587E7A7D8BB}"/>
            </a:ext>
            <a:ext uri="{147F2762-F138-4A5C-976F-8EAC2B608ADB}">
              <a16:predDERef xmlns:a16="http://schemas.microsoft.com/office/drawing/2014/main" pred="{0D8033F6-5AE2-4463-B26C-B8F1EA944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8350" y="9839325"/>
          <a:ext cx="923925" cy="923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19B2611-6822-49CC-BDD4-4CAB10777D1B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63414970-B921-42C0-A779-816C8132D749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BBC95F34-B910-4E17-8BFC-806845477D44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621786-10E1-4B65-8002-61C4A881E243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DDA0A0-3949-4162-9BE6-2B95A0B1FB0C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69BA14-5BB6-43EF-AB47-24E120EF05E6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200025</xdr:colOff>
      <xdr:row>46</xdr:row>
      <xdr:rowOff>47625</xdr:rowOff>
    </xdr:from>
    <xdr:to>
      <xdr:col>15</xdr:col>
      <xdr:colOff>19050</xdr:colOff>
      <xdr:row>51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FBAD53-AEE0-4715-85CE-BD9383A2B547}"/>
            </a:ext>
            <a:ext uri="{147F2762-F138-4A5C-976F-8EAC2B608ADB}">
              <a16:predDERef xmlns:a16="http://schemas.microsoft.com/office/drawing/2014/main" pred="{AB69BA14-5BB6-43EF-AB47-24E120EF0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98393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46</xdr:row>
      <xdr:rowOff>66675</xdr:rowOff>
    </xdr:from>
    <xdr:to>
      <xdr:col>23</xdr:col>
      <xdr:colOff>47625</xdr:colOff>
      <xdr:row>51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D49E2D-0F21-4667-89FB-D545963AEAA0}"/>
            </a:ext>
            <a:ext uri="{147F2762-F138-4A5C-976F-8EAC2B608ADB}">
              <a16:predDERef xmlns:a16="http://schemas.microsoft.com/office/drawing/2014/main" pred="{65FBAD53-AEE0-4715-85CE-BD9383A2B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9300" y="9858375"/>
          <a:ext cx="923925" cy="923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9887FC1D-BACE-440B-BE88-F69B6C002D30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B30691AF-0F34-4AD4-A03E-B9C6350C2433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8622E572-A0DA-41F9-A6C3-C982AE5F4012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124303-BF54-4DB9-A767-972F1B2C1435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696B564-DA0F-4FBD-8079-667D0C6FDBD7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500E71-67D0-4FD2-B425-59D082C8AD67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257175</xdr:colOff>
      <xdr:row>46</xdr:row>
      <xdr:rowOff>38100</xdr:rowOff>
    </xdr:from>
    <xdr:to>
      <xdr:col>15</xdr:col>
      <xdr:colOff>76200</xdr:colOff>
      <xdr:row>51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90A5D3-C733-49F0-AFD5-D374CBBC19F0}"/>
            </a:ext>
            <a:ext uri="{147F2762-F138-4A5C-976F-8EAC2B608ADB}">
              <a16:predDERef xmlns:a16="http://schemas.microsoft.com/office/drawing/2014/main" pred="{AE500E71-67D0-4FD2-B425-59D082C8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3175" y="98298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46</xdr:row>
      <xdr:rowOff>57150</xdr:rowOff>
    </xdr:from>
    <xdr:to>
      <xdr:col>19</xdr:col>
      <xdr:colOff>0</xdr:colOff>
      <xdr:row>51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3E2D60-1D51-4431-BD1B-C230672E4DE4}"/>
            </a:ext>
            <a:ext uri="{147F2762-F138-4A5C-976F-8EAC2B608ADB}">
              <a16:predDERef xmlns:a16="http://schemas.microsoft.com/office/drawing/2014/main" pred="{3A90A5D3-C733-49F0-AFD5-D374CBBC1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5750" y="984885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361950</xdr:colOff>
      <xdr:row>46</xdr:row>
      <xdr:rowOff>28575</xdr:rowOff>
    </xdr:from>
    <xdr:to>
      <xdr:col>23</xdr:col>
      <xdr:colOff>104775</xdr:colOff>
      <xdr:row>51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4AD643-B3B7-4E42-865E-28263179AAC4}"/>
            </a:ext>
            <a:ext uri="{147F2762-F138-4A5C-976F-8EAC2B608ADB}">
              <a16:predDERef xmlns:a16="http://schemas.microsoft.com/office/drawing/2014/main" pred="{443E2D60-1D51-4431-BD1B-C230672E4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0" y="9820275"/>
          <a:ext cx="1000125" cy="10001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3DBC827B-641D-4452-A6A3-18159385D9B5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52B5C25-7ADB-4844-9B86-C9039D5EECC1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D67E08B0-464E-4F5A-A9DD-B94E6FCFE784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24FCEF-06AA-4905-9953-3AA6E931B16E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A5B68FC-858B-4F67-BAE5-269811959DB9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DAA00F-8C2D-41A9-8E1A-2C3ABFBD142A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228600</xdr:colOff>
      <xdr:row>46</xdr:row>
      <xdr:rowOff>66675</xdr:rowOff>
    </xdr:from>
    <xdr:to>
      <xdr:col>15</xdr:col>
      <xdr:colOff>47625</xdr:colOff>
      <xdr:row>51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E19977-22A4-4F89-9ABC-6B331FA940C8}"/>
            </a:ext>
            <a:ext uri="{147F2762-F138-4A5C-976F-8EAC2B608ADB}">
              <a16:predDERef xmlns:a16="http://schemas.microsoft.com/office/drawing/2014/main" pred="{56DAA00F-8C2D-41A9-8E1A-2C3ABFBD1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35FAF1-72D8-4D19-8FB8-7E74016EB256}"/>
            </a:ext>
            <a:ext uri="{147F2762-F138-4A5C-976F-8EAC2B608ADB}">
              <a16:predDERef xmlns:a16="http://schemas.microsoft.com/office/drawing/2014/main" pred="{B0E19977-22A4-4F89-9ABC-6B331FA9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371475</xdr:colOff>
      <xdr:row>46</xdr:row>
      <xdr:rowOff>38100</xdr:rowOff>
    </xdr:from>
    <xdr:to>
      <xdr:col>23</xdr:col>
      <xdr:colOff>38100</xdr:colOff>
      <xdr:row>51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9544E0-6A2E-4C5F-B2CD-B6A7F9DA5330}"/>
            </a:ext>
            <a:ext uri="{147F2762-F138-4A5C-976F-8EAC2B608ADB}">
              <a16:predDERef xmlns:a16="http://schemas.microsoft.com/office/drawing/2014/main" pred="{AD35FAF1-72D8-4D19-8FB8-7E74016EB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9775" y="9829800"/>
          <a:ext cx="923925" cy="923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1132D926-E701-4BE4-BA55-197A062D0F1B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7762CE76-C6E6-463F-8778-2048EDF12488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F3B4EA5B-515B-4B34-820F-3171EBE648DA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4B0E87-E5AC-478A-A1A2-FF5EE08E6A4C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4404687-6179-4D08-9E1F-0BD592497DAC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5D5268-23BC-4325-AA60-4DBAECD5710A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247650</xdr:colOff>
      <xdr:row>46</xdr:row>
      <xdr:rowOff>95250</xdr:rowOff>
    </xdr:from>
    <xdr:to>
      <xdr:col>15</xdr:col>
      <xdr:colOff>66675</xdr:colOff>
      <xdr:row>51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5070AC-C9DA-4A88-A93E-925201800B5E}"/>
            </a:ext>
            <a:ext uri="{147F2762-F138-4A5C-976F-8EAC2B608ADB}">
              <a16:predDERef xmlns:a16="http://schemas.microsoft.com/office/drawing/2014/main" pred="{F55D5268-23BC-4325-AA60-4DBAECD57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3650" y="988695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B1FAF4-BE7A-4763-8C85-3E73440B891B}"/>
            </a:ext>
            <a:ext uri="{147F2762-F138-4A5C-976F-8EAC2B608ADB}">
              <a16:predDERef xmlns:a16="http://schemas.microsoft.com/office/drawing/2014/main" pred="{945070AC-C9DA-4A88-A93E-92520180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46</xdr:row>
      <xdr:rowOff>85725</xdr:rowOff>
    </xdr:from>
    <xdr:to>
      <xdr:col>23</xdr:col>
      <xdr:colOff>47625</xdr:colOff>
      <xdr:row>51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949C67-F0EC-403E-B3F6-9E97D57F3B15}"/>
            </a:ext>
            <a:ext uri="{147F2762-F138-4A5C-976F-8EAC2B608ADB}">
              <a16:predDERef xmlns:a16="http://schemas.microsoft.com/office/drawing/2014/main" pred="{E1B1FAF4-BE7A-4763-8C85-3E73440B8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9300" y="9877425"/>
          <a:ext cx="923925" cy="9239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13CE6BED-EA76-4478-8F8D-B508746408A7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B8F45D68-51DD-429A-97CA-59505A61B2D5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D9EF46A6-9D41-42E3-A0C8-3FFD6B63A3F8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5CF1F8-FD14-4A9C-93B9-DC8C3C2924F9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3212647-9FF3-4279-AE97-1E6F6CDEFC24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CE8F76-80A6-4CFB-AF4B-213841F259F5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209550</xdr:colOff>
      <xdr:row>46</xdr:row>
      <xdr:rowOff>28575</xdr:rowOff>
    </xdr:from>
    <xdr:to>
      <xdr:col>15</xdr:col>
      <xdr:colOff>28575</xdr:colOff>
      <xdr:row>51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B41FE3-E81E-43C9-9835-119E7665180D}"/>
            </a:ext>
            <a:ext uri="{147F2762-F138-4A5C-976F-8EAC2B608ADB}">
              <a16:predDERef xmlns:a16="http://schemas.microsoft.com/office/drawing/2014/main" pred="{D3CE8F76-80A6-4CFB-AF4B-213841F25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550" y="98202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D07FAD-3A8D-419A-9BA6-8A01FEA4AF0D}"/>
            </a:ext>
            <a:ext uri="{147F2762-F138-4A5C-976F-8EAC2B608ADB}">
              <a16:predDERef xmlns:a16="http://schemas.microsoft.com/office/drawing/2014/main" pred="{98B41FE3-E81E-43C9-9835-119E76651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371475</xdr:colOff>
      <xdr:row>46</xdr:row>
      <xdr:rowOff>57150</xdr:rowOff>
    </xdr:from>
    <xdr:to>
      <xdr:col>23</xdr:col>
      <xdr:colOff>38100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889120-17B0-427B-9ADE-1AE86BC6DB6D}"/>
            </a:ext>
            <a:ext uri="{147F2762-F138-4A5C-976F-8EAC2B608ADB}">
              <a16:predDERef xmlns:a16="http://schemas.microsoft.com/office/drawing/2014/main" pred="{7BD07FAD-3A8D-419A-9BA6-8A01FEA4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9775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1E4A8EF-0107-442E-AD95-E41000A796D0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4B6AFDCF-AB52-4452-BADA-F97099F9D4C5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1DD5C181-1896-4E4D-BEC8-6DBA07B27B98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52109</xdr:colOff>
      <xdr:row>6</xdr:row>
      <xdr:rowOff>52667</xdr:rowOff>
    </xdr:from>
    <xdr:to>
      <xdr:col>30</xdr:col>
      <xdr:colOff>344579</xdr:colOff>
      <xdr:row>26</xdr:row>
      <xdr:rowOff>127186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117200-B646-4217-90B6-E6A9A6A107B7}"/>
            </a:ext>
            <a:ext uri="{147F2762-F138-4A5C-976F-8EAC2B608ADB}">
              <a16:predDERef xmlns:a16="http://schemas.microsoft.com/office/drawing/2014/main" pred="{1DD5C181-1896-4E4D-BEC8-6DBA07B27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A1FDAB-7551-4F9A-BFB8-7EA01B84C766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2CFB8C-394D-4EC4-9962-92E553161F23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190500</xdr:colOff>
      <xdr:row>46</xdr:row>
      <xdr:rowOff>66675</xdr:rowOff>
    </xdr:from>
    <xdr:to>
      <xdr:col>15</xdr:col>
      <xdr:colOff>9525</xdr:colOff>
      <xdr:row>51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7F6041-9888-4E59-876F-3E702B58737A}"/>
            </a:ext>
            <a:ext uri="{147F2762-F138-4A5C-976F-8EAC2B608ADB}">
              <a16:predDERef xmlns:a16="http://schemas.microsoft.com/office/drawing/2014/main" pred="{5F2CFB8C-394D-4EC4-9962-92E553161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0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B6D07C-EB6C-4145-A063-0AC16A25CF37}"/>
            </a:ext>
            <a:ext uri="{147F2762-F138-4A5C-976F-8EAC2B608ADB}">
              <a16:predDERef xmlns:a16="http://schemas.microsoft.com/office/drawing/2014/main" pred="{C87F6041-9888-4E59-876F-3E702B587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46</xdr:row>
      <xdr:rowOff>57150</xdr:rowOff>
    </xdr:from>
    <xdr:to>
      <xdr:col>23</xdr:col>
      <xdr:colOff>9525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376EAA-A6E7-4833-93F7-64F56DA2EC74}"/>
            </a:ext>
            <a:ext uri="{147F2762-F138-4A5C-976F-8EAC2B608ADB}">
              <a16:predDERef xmlns:a16="http://schemas.microsoft.com/office/drawing/2014/main" pred="{22B6D07C-EB6C-4145-A063-0AC16A25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E8C94E88-2450-424E-B959-5E55ECC4ABF1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A836065-9071-4D92-AB77-492891F20C22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4D218482-8715-4933-B1F0-F01C4549CE0E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B66C57-AF0E-4886-A5C3-762C8382F4A6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DA753F-D2B7-4161-94CF-6FA26FA0236E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204E29D-F5EE-4384-A275-662A8396F40D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276225</xdr:colOff>
      <xdr:row>46</xdr:row>
      <xdr:rowOff>66675</xdr:rowOff>
    </xdr:from>
    <xdr:to>
      <xdr:col>15</xdr:col>
      <xdr:colOff>95250</xdr:colOff>
      <xdr:row>51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FC6F79-ABD1-4E11-BA3C-3729FF143886}"/>
            </a:ext>
            <a:ext uri="{147F2762-F138-4A5C-976F-8EAC2B608ADB}">
              <a16:predDERef xmlns:a16="http://schemas.microsoft.com/office/drawing/2014/main" pred="{F204E29D-F5EE-4384-A275-662A8396F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6939CA-E326-4D65-A3E1-1279B38FF086}"/>
            </a:ext>
            <a:ext uri="{147F2762-F138-4A5C-976F-8EAC2B608ADB}">
              <a16:predDERef xmlns:a16="http://schemas.microsoft.com/office/drawing/2014/main" pred="{D4FC6F79-ABD1-4E11-BA3C-3729FF143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314325</xdr:colOff>
      <xdr:row>46</xdr:row>
      <xdr:rowOff>47625</xdr:rowOff>
    </xdr:from>
    <xdr:to>
      <xdr:col>22</xdr:col>
      <xdr:colOff>400050</xdr:colOff>
      <xdr:row>51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B92470-90D9-4D8D-8B5D-4B492A92A809}"/>
            </a:ext>
            <a:ext uri="{147F2762-F138-4A5C-976F-8EAC2B608ADB}">
              <a16:predDERef xmlns:a16="http://schemas.microsoft.com/office/drawing/2014/main" pred="{E76939CA-E326-4D65-A3E1-1279B38F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2625" y="9839325"/>
          <a:ext cx="923925" cy="9239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D3B562B1-E020-4224-9B29-4BC5EBA29A37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AF56F907-7F9A-4242-BEA5-E9ED08029846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B35F1D2D-CB81-406A-8B15-71D9D24E3616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F73BD7-D866-4D2B-8A82-2B7E65B5E250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18CBA0-F7A0-42C6-BE5A-75AEDDEE7290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AEA95A-6A90-418E-804F-55B7F5E62814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152400</xdr:colOff>
      <xdr:row>46</xdr:row>
      <xdr:rowOff>66675</xdr:rowOff>
    </xdr:from>
    <xdr:to>
      <xdr:col>14</xdr:col>
      <xdr:colOff>333375</xdr:colOff>
      <xdr:row>51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FE8441-EC57-492A-BF70-1DA9A08CF348}"/>
            </a:ext>
            <a:ext uri="{147F2762-F138-4A5C-976F-8EAC2B608ADB}">
              <a16:predDERef xmlns:a16="http://schemas.microsoft.com/office/drawing/2014/main" pred="{65AEA95A-6A90-418E-804F-55B7F5E6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BC4B45-3365-4A5B-8526-A9CA85585BED}"/>
            </a:ext>
            <a:ext uri="{147F2762-F138-4A5C-976F-8EAC2B608ADB}">
              <a16:predDERef xmlns:a16="http://schemas.microsoft.com/office/drawing/2014/main" pred="{10FE8441-EC57-492A-BF70-1DA9A08C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46</xdr:row>
      <xdr:rowOff>66675</xdr:rowOff>
    </xdr:from>
    <xdr:to>
      <xdr:col>23</xdr:col>
      <xdr:colOff>47625</xdr:colOff>
      <xdr:row>51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F51129-2405-4962-9E6B-E0D45C5F128F}"/>
            </a:ext>
            <a:ext uri="{147F2762-F138-4A5C-976F-8EAC2B608ADB}">
              <a16:predDERef xmlns:a16="http://schemas.microsoft.com/office/drawing/2014/main" pred="{CEBC4B45-3365-4A5B-8526-A9CA85585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9300" y="9858375"/>
          <a:ext cx="923925" cy="9239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BE3CD8E-797E-4F2B-9C79-EF46989D13B6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8B697FA-0951-49FC-BE48-AAC045EA87BB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B91DE140-A6C7-48C1-8F6F-4E88F8928EC7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B8B669-4EA8-4D6C-91C1-19227B470197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9B5A08-F5E3-4208-A96D-591201555E66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330E1F-1BC8-44FA-9C0D-45137FC3F77A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209550</xdr:colOff>
      <xdr:row>46</xdr:row>
      <xdr:rowOff>28575</xdr:rowOff>
    </xdr:from>
    <xdr:to>
      <xdr:col>15</xdr:col>
      <xdr:colOff>28575</xdr:colOff>
      <xdr:row>51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A83AC4-E9AC-4C4D-8538-52745266C1C8}"/>
            </a:ext>
            <a:ext uri="{147F2762-F138-4A5C-976F-8EAC2B608ADB}">
              <a16:predDERef xmlns:a16="http://schemas.microsoft.com/office/drawing/2014/main" pred="{F7330E1F-1BC8-44FA-9C0D-45137FC3F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550" y="98202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AD8F70-5206-4ED4-BAF9-EEFB73F12A48}"/>
            </a:ext>
            <a:ext uri="{147F2762-F138-4A5C-976F-8EAC2B608ADB}">
              <a16:predDERef xmlns:a16="http://schemas.microsoft.com/office/drawing/2014/main" pred="{62A83AC4-E9AC-4C4D-8538-52745266C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371475</xdr:colOff>
      <xdr:row>46</xdr:row>
      <xdr:rowOff>76200</xdr:rowOff>
    </xdr:from>
    <xdr:to>
      <xdr:col>23</xdr:col>
      <xdr:colOff>38100</xdr:colOff>
      <xdr:row>51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E9137D0-C94A-4B46-BC68-FD62F2F70FA4}"/>
            </a:ext>
            <a:ext uri="{147F2762-F138-4A5C-976F-8EAC2B608ADB}">
              <a16:predDERef xmlns:a16="http://schemas.microsoft.com/office/drawing/2014/main" pred="{AEAD8F70-5206-4ED4-BAF9-EEFB73F12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9775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C492A104-5013-4CAF-9958-D702A39F6E28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E108D490-7B81-4E7D-AEBF-163ECC6D20DE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10357E3E-9B64-4C40-A49A-DB267BF90014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FA283D-C000-45C3-990F-91FC1A7237E0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F395AE-CD07-470D-B5FE-5A991CE00D55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ABEC32-9411-4864-9368-D70B50377E07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200025</xdr:colOff>
      <xdr:row>46</xdr:row>
      <xdr:rowOff>76200</xdr:rowOff>
    </xdr:from>
    <xdr:to>
      <xdr:col>15</xdr:col>
      <xdr:colOff>19050</xdr:colOff>
      <xdr:row>51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C9456F-9EDE-4BC7-AB09-96FF3F0981C4}"/>
            </a:ext>
            <a:ext uri="{147F2762-F138-4A5C-976F-8EAC2B608ADB}">
              <a16:predDERef xmlns:a16="http://schemas.microsoft.com/office/drawing/2014/main" pred="{CDABEC32-9411-4864-9368-D70B50377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98679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F1241B-CCEB-4AD8-B370-EC748C29B7F8}"/>
            </a:ext>
            <a:ext uri="{147F2762-F138-4A5C-976F-8EAC2B608ADB}">
              <a16:predDERef xmlns:a16="http://schemas.microsoft.com/office/drawing/2014/main" pred="{AEC9456F-9EDE-4BC7-AB09-96FF3F098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323850</xdr:colOff>
      <xdr:row>46</xdr:row>
      <xdr:rowOff>76200</xdr:rowOff>
    </xdr:from>
    <xdr:to>
      <xdr:col>22</xdr:col>
      <xdr:colOff>409575</xdr:colOff>
      <xdr:row>51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6E8385-57AC-4844-ABE8-97747E4DEFEF}"/>
            </a:ext>
            <a:ext uri="{147F2762-F138-4A5C-976F-8EAC2B608ADB}">
              <a16:predDERef xmlns:a16="http://schemas.microsoft.com/office/drawing/2014/main" pred="{1DF1241B-CCEB-4AD8-B370-EC748C29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82150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71FA077-1A7F-4FE6-9C61-F472B59D3977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7D712DF5-BE99-42A4-971F-D76928974268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5D40BB2D-6196-4C76-B4BB-614E77CD3142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5DB670-2E81-4CE6-B5EF-682A8BDA3349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8BD917-228B-49E0-BBE9-38DBE306A373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084CD5-CA69-4B47-930E-5705658712F0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276225</xdr:colOff>
      <xdr:row>46</xdr:row>
      <xdr:rowOff>104775</xdr:rowOff>
    </xdr:from>
    <xdr:to>
      <xdr:col>15</xdr:col>
      <xdr:colOff>95250</xdr:colOff>
      <xdr:row>51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0F3DBF-75F7-44FE-9F2A-76E884D2AA78}"/>
            </a:ext>
            <a:ext uri="{147F2762-F138-4A5C-976F-8EAC2B608ADB}">
              <a16:predDERef xmlns:a16="http://schemas.microsoft.com/office/drawing/2014/main" pred="{D5084CD5-CA69-4B47-930E-570565871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98964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C31515-5A1B-4D17-AFB2-39575AA304F4}"/>
            </a:ext>
            <a:ext uri="{147F2762-F138-4A5C-976F-8EAC2B608ADB}">
              <a16:predDERef xmlns:a16="http://schemas.microsoft.com/office/drawing/2014/main" pred="{800F3DBF-75F7-44FE-9F2A-76E884D2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46</xdr:row>
      <xdr:rowOff>76200</xdr:rowOff>
    </xdr:from>
    <xdr:to>
      <xdr:col>23</xdr:col>
      <xdr:colOff>47625</xdr:colOff>
      <xdr:row>51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508764-2967-4F15-9A05-43A758DDBCC6}"/>
            </a:ext>
            <a:ext uri="{147F2762-F138-4A5C-976F-8EAC2B608ADB}">
              <a16:predDERef xmlns:a16="http://schemas.microsoft.com/office/drawing/2014/main" pred="{F0C31515-5A1B-4D17-AFB2-39575AA3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9300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B9EC9D37-D08D-4A59-9E0F-5D4E6A764F17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93801AD-55DD-40AF-9D35-AF8F0A878E8D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845E0A9A-6620-4D63-AF0F-C36A0CB51A2E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F3FC0F-63BD-44D3-AD58-A393288B5F50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3259377-1411-42D6-89BA-B3A7DD008B76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530BAE-EF85-41E2-A824-E21C54BBF57D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180975</xdr:colOff>
      <xdr:row>46</xdr:row>
      <xdr:rowOff>85725</xdr:rowOff>
    </xdr:from>
    <xdr:to>
      <xdr:col>15</xdr:col>
      <xdr:colOff>0</xdr:colOff>
      <xdr:row>51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D4C263-EBE7-460B-9EB7-48E94CE84365}"/>
            </a:ext>
            <a:ext uri="{147F2762-F138-4A5C-976F-8EAC2B608ADB}">
              <a16:predDERef xmlns:a16="http://schemas.microsoft.com/office/drawing/2014/main" pred="{51530BAE-EF85-41E2-A824-E21C54BBF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98774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3F468B-1CFA-4329-B284-202ABF57D0CB}"/>
            </a:ext>
            <a:ext uri="{147F2762-F138-4A5C-976F-8EAC2B608ADB}">
              <a16:predDERef xmlns:a16="http://schemas.microsoft.com/office/drawing/2014/main" pred="{88D4C263-EBE7-460B-9EB7-48E94CE84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276225</xdr:colOff>
      <xdr:row>46</xdr:row>
      <xdr:rowOff>76200</xdr:rowOff>
    </xdr:from>
    <xdr:to>
      <xdr:col>22</xdr:col>
      <xdr:colOff>361950</xdr:colOff>
      <xdr:row>51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B55582-AFA8-4A1D-A9E6-99F6CF267EFF}"/>
            </a:ext>
            <a:ext uri="{147F2762-F138-4A5C-976F-8EAC2B608ADB}">
              <a16:predDERef xmlns:a16="http://schemas.microsoft.com/office/drawing/2014/main" pred="{FB3F468B-1CFA-4329-B284-202ABF57D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34525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98F80E94-0318-47F8-BFB0-570A3B2421B3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BC96BA1-689A-45E7-AB85-C761D2AF6729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75FA08B5-ED1D-4877-917A-962C2B832F20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03A723-7A18-4FC4-85DC-F2E655C5473E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B2FF1-EB76-4162-86A0-997AF5FAC59D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EF7A2D-181D-4517-BDAE-0F8DC0B58241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219075</xdr:colOff>
      <xdr:row>46</xdr:row>
      <xdr:rowOff>38100</xdr:rowOff>
    </xdr:from>
    <xdr:to>
      <xdr:col>15</xdr:col>
      <xdr:colOff>38100</xdr:colOff>
      <xdr:row>51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C707AF-441B-4AD6-B1EC-98D8D8157D7E}"/>
            </a:ext>
            <a:ext uri="{147F2762-F138-4A5C-976F-8EAC2B608ADB}">
              <a16:predDERef xmlns:a16="http://schemas.microsoft.com/office/drawing/2014/main" pred="{50EF7A2D-181D-4517-BDAE-0F8DC0B5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5075" y="98298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14C121-3D87-49D9-A519-29CE68B6E1C8}"/>
            </a:ext>
            <a:ext uri="{147F2762-F138-4A5C-976F-8EAC2B608ADB}">
              <a16:predDERef xmlns:a16="http://schemas.microsoft.com/office/drawing/2014/main" pred="{85C707AF-441B-4AD6-B1EC-98D8D8157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361950</xdr:colOff>
      <xdr:row>46</xdr:row>
      <xdr:rowOff>57150</xdr:rowOff>
    </xdr:from>
    <xdr:to>
      <xdr:col>23</xdr:col>
      <xdr:colOff>28575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934326-C664-4968-AE03-514AEAD5AC01}"/>
            </a:ext>
            <a:ext uri="{147F2762-F138-4A5C-976F-8EAC2B608ADB}">
              <a16:predDERef xmlns:a16="http://schemas.microsoft.com/office/drawing/2014/main" pred="{E714C121-3D87-49D9-A519-29CE68B6E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0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4F6B3EBA-328F-456B-9BFF-716B92642330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77864F2F-48FB-44D3-A1E5-3C0782B2F51B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C1B7614-7399-4CFD-A2AE-94FB7289D7CE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26B033-44B5-48DA-AF31-F8FD931A2CFF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21BEEC-5109-4142-B10D-3D0E714BCE00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1E0F342-17D6-442B-8D0C-440217FD0D0B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228600</xdr:colOff>
      <xdr:row>46</xdr:row>
      <xdr:rowOff>85725</xdr:rowOff>
    </xdr:from>
    <xdr:to>
      <xdr:col>15</xdr:col>
      <xdr:colOff>47625</xdr:colOff>
      <xdr:row>51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C5763E-57C9-4D4C-B62A-C287711B686C}"/>
            </a:ext>
            <a:ext uri="{147F2762-F138-4A5C-976F-8EAC2B608ADB}">
              <a16:predDERef xmlns:a16="http://schemas.microsoft.com/office/drawing/2014/main" pred="{C1E0F342-17D6-442B-8D0C-440217FD0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98774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3CA914-9D6E-4FD4-91E1-BE410617B498}"/>
            </a:ext>
            <a:ext uri="{147F2762-F138-4A5C-976F-8EAC2B608ADB}">
              <a16:predDERef xmlns:a16="http://schemas.microsoft.com/office/drawing/2014/main" pred="{5AC5763E-57C9-4D4C-B62A-C287711B6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238125</xdr:colOff>
      <xdr:row>46</xdr:row>
      <xdr:rowOff>104775</xdr:rowOff>
    </xdr:from>
    <xdr:to>
      <xdr:col>22</xdr:col>
      <xdr:colOff>323850</xdr:colOff>
      <xdr:row>51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9F79D8-6D25-4423-AC56-A4DB5F48A11A}"/>
            </a:ext>
            <a:ext uri="{147F2762-F138-4A5C-976F-8EAC2B608ADB}">
              <a16:predDERef xmlns:a16="http://schemas.microsoft.com/office/drawing/2014/main" pred="{A33CA914-9D6E-4FD4-91E1-BE410617B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96425" y="9896475"/>
          <a:ext cx="923925" cy="9239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DBBB30BD-C59A-4819-B4A7-72B7E972CF96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38E99569-70E7-4DDA-8EF5-8D108A6C4292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4172B60D-4245-4720-9A4F-E1D37DAB85C3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F144B-E49D-4B02-84F3-84879C511BD1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4DE171-FBC3-495C-B052-15614CF93E44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F269A2-C3DC-46A9-A5AE-F730B640ED43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200025</xdr:colOff>
      <xdr:row>46</xdr:row>
      <xdr:rowOff>28575</xdr:rowOff>
    </xdr:from>
    <xdr:to>
      <xdr:col>15</xdr:col>
      <xdr:colOff>19050</xdr:colOff>
      <xdr:row>51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479FE9-CFD9-432C-AD67-EC87F5DAC739}"/>
            </a:ext>
            <a:ext uri="{147F2762-F138-4A5C-976F-8EAC2B608ADB}">
              <a16:predDERef xmlns:a16="http://schemas.microsoft.com/office/drawing/2014/main" pred="{4DF269A2-C3DC-46A9-A5AE-F730B640E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98202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293B43-1D12-4077-8E31-80374556EE81}"/>
            </a:ext>
            <a:ext uri="{147F2762-F138-4A5C-976F-8EAC2B608ADB}">
              <a16:predDERef xmlns:a16="http://schemas.microsoft.com/office/drawing/2014/main" pred="{58479FE9-CFD9-432C-AD67-EC87F5DA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46</xdr:row>
      <xdr:rowOff>57150</xdr:rowOff>
    </xdr:from>
    <xdr:to>
      <xdr:col>23</xdr:col>
      <xdr:colOff>47625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9F9423B-E254-4ED7-A7CF-A134BAEA1BBD}"/>
            </a:ext>
            <a:ext uri="{147F2762-F138-4A5C-976F-8EAC2B608ADB}">
              <a16:predDERef xmlns:a16="http://schemas.microsoft.com/office/drawing/2014/main" pred="{C5293B43-1D12-4077-8E31-80374556E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9300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5FC1FD45-542F-4A0B-A7C0-3CB81D832056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F2E688E-0425-4945-BB73-F178D2390B4E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E4EBB1A8-7FA3-4C82-A55D-F86662D34576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491189-57CE-4D01-8A56-507AA15DF1C9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15BFEF-DFC5-4E35-A8AC-FB8B43C881FF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DE1EA6-2AC2-4394-BACB-876EE42B270B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238125</xdr:colOff>
      <xdr:row>46</xdr:row>
      <xdr:rowOff>47625</xdr:rowOff>
    </xdr:from>
    <xdr:to>
      <xdr:col>15</xdr:col>
      <xdr:colOff>57150</xdr:colOff>
      <xdr:row>51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C9349F-CDC6-4257-8B99-66E214343B0E}"/>
            </a:ext>
            <a:ext uri="{147F2762-F138-4A5C-976F-8EAC2B608ADB}">
              <a16:predDERef xmlns:a16="http://schemas.microsoft.com/office/drawing/2014/main" pred="{82DE1EA6-2AC2-4394-BACB-876EE42B2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4125" y="98393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4D3622-9130-4724-84F9-0ED0A5A163C2}"/>
            </a:ext>
            <a:ext uri="{147F2762-F138-4A5C-976F-8EAC2B608ADB}">
              <a16:predDERef xmlns:a16="http://schemas.microsoft.com/office/drawing/2014/main" pred="{AAC9349F-CDC6-4257-8B99-66E214343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46</xdr:row>
      <xdr:rowOff>76200</xdr:rowOff>
    </xdr:from>
    <xdr:to>
      <xdr:col>23</xdr:col>
      <xdr:colOff>47625</xdr:colOff>
      <xdr:row>51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8EE4FF-0827-4A0E-A4D1-AA80055BE9AE}"/>
            </a:ext>
            <a:ext uri="{147F2762-F138-4A5C-976F-8EAC2B608ADB}">
              <a16:predDERef xmlns:a16="http://schemas.microsoft.com/office/drawing/2014/main" pred="{8D4D3622-9130-4724-84F9-0ED0A5A1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9300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8193D485-3EFD-4CF1-B8CF-0B6C1CFF8CCB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290B9C67-9C7B-4C7D-9DD1-9838068DC9E6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7B5AD0A2-27DB-4F22-8AF0-D57FA3115E2C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37448D-B339-4129-9B09-AA7E5550E267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3893DFA-028E-4193-BB16-AEB5633DD22A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4F1C7E-F1B1-4B30-80F2-5AA62897A509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228600</xdr:colOff>
      <xdr:row>46</xdr:row>
      <xdr:rowOff>47625</xdr:rowOff>
    </xdr:from>
    <xdr:to>
      <xdr:col>15</xdr:col>
      <xdr:colOff>47625</xdr:colOff>
      <xdr:row>51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AA296D-BB58-4138-ABEC-5D67B96D1D4D}"/>
            </a:ext>
            <a:ext uri="{147F2762-F138-4A5C-976F-8EAC2B608ADB}">
              <a16:predDERef xmlns:a16="http://schemas.microsoft.com/office/drawing/2014/main" pred="{514F1C7E-F1B1-4B30-80F2-5AA62897A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98393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3D359FD-35AA-4F59-82DA-C77BBF3D5E6E}"/>
            </a:ext>
            <a:ext uri="{147F2762-F138-4A5C-976F-8EAC2B608ADB}">
              <a16:predDERef xmlns:a16="http://schemas.microsoft.com/office/drawing/2014/main" pred="{74AA296D-BB58-4138-ABEC-5D67B96D1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</xdr:colOff>
      <xdr:row>46</xdr:row>
      <xdr:rowOff>47625</xdr:rowOff>
    </xdr:from>
    <xdr:to>
      <xdr:col>23</xdr:col>
      <xdr:colOff>95250</xdr:colOff>
      <xdr:row>51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85E933-E6C5-4509-ADFF-73F70EB3C8DA}"/>
            </a:ext>
            <a:ext uri="{147F2762-F138-4A5C-976F-8EAC2B608ADB}">
              <a16:predDERef xmlns:a16="http://schemas.microsoft.com/office/drawing/2014/main" pred="{23D359FD-35AA-4F59-82DA-C77BBF3D5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86925" y="9839325"/>
          <a:ext cx="923925" cy="9239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7289323-E764-446B-AD84-95018D0F7D08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4042CEF-CBE4-4F9E-A6DF-D07193542DF5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D7011E34-B0E8-4F82-A4DC-17F611D40482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DBA9CA-289F-4150-A3FA-226D9A61C69A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C2E989C-52DC-466E-97AC-C782C1AA6D5A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FAABBF-D788-4B61-95A6-1AF8F53F506B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247650</xdr:colOff>
      <xdr:row>46</xdr:row>
      <xdr:rowOff>47625</xdr:rowOff>
    </xdr:from>
    <xdr:to>
      <xdr:col>15</xdr:col>
      <xdr:colOff>66675</xdr:colOff>
      <xdr:row>51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E92D53-0437-47B2-960A-6750BB63E578}"/>
            </a:ext>
            <a:ext uri="{147F2762-F138-4A5C-976F-8EAC2B608ADB}">
              <a16:predDERef xmlns:a16="http://schemas.microsoft.com/office/drawing/2014/main" pred="{9EFAABBF-D788-4B61-95A6-1AF8F53F5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3650" y="98393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176F7E-18A5-4389-A804-2FD54B5121AC}"/>
            </a:ext>
            <a:ext uri="{147F2762-F138-4A5C-976F-8EAC2B608ADB}">
              <a16:predDERef xmlns:a16="http://schemas.microsoft.com/office/drawing/2014/main" pred="{01E92D53-0437-47B2-960A-6750BB63E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390525</xdr:colOff>
      <xdr:row>46</xdr:row>
      <xdr:rowOff>57150</xdr:rowOff>
    </xdr:from>
    <xdr:to>
      <xdr:col>23</xdr:col>
      <xdr:colOff>57150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9F52A-6147-4B6A-ACFE-8F9310F84C48}"/>
            </a:ext>
            <a:ext uri="{147F2762-F138-4A5C-976F-8EAC2B608ADB}">
              <a16:predDERef xmlns:a16="http://schemas.microsoft.com/office/drawing/2014/main" pred="{07176F7E-18A5-4389-A804-2FD54B51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48825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4F2E6C36-3266-48B3-9750-051749F9A8DD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EE94FFCC-DF9B-4F6B-A6EE-6994670B0075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F87F9F2D-7670-4533-AC40-1900CBE349F2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4BB9EB-D7E6-4D72-BC64-1C079B61C6FF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ACD5A3-D94C-499A-BA2A-73773FA2042B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1778FC-A6AA-4492-A4F8-07D150093D06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257175</xdr:colOff>
      <xdr:row>46</xdr:row>
      <xdr:rowOff>57150</xdr:rowOff>
    </xdr:from>
    <xdr:to>
      <xdr:col>15</xdr:col>
      <xdr:colOff>76200</xdr:colOff>
      <xdr:row>51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E8DBED-7785-4097-8B34-932FB9ADA608}"/>
            </a:ext>
            <a:ext uri="{147F2762-F138-4A5C-976F-8EAC2B608ADB}">
              <a16:predDERef xmlns:a16="http://schemas.microsoft.com/office/drawing/2014/main" pred="{CE1778FC-A6AA-4492-A4F8-07D150093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3175" y="984885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1A97DD-FDB3-4A5E-B355-8CFA92A1F569}"/>
            </a:ext>
            <a:ext uri="{147F2762-F138-4A5C-976F-8EAC2B608ADB}">
              <a16:predDERef xmlns:a16="http://schemas.microsoft.com/office/drawing/2014/main" pred="{FCE8DBED-7785-4097-8B34-932FB9ADA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333375</xdr:colOff>
      <xdr:row>46</xdr:row>
      <xdr:rowOff>76200</xdr:rowOff>
    </xdr:from>
    <xdr:to>
      <xdr:col>23</xdr:col>
      <xdr:colOff>0</xdr:colOff>
      <xdr:row>51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0ABBD19-7FDB-4F1E-9CA9-19A64C88BB7C}"/>
            </a:ext>
            <a:ext uri="{147F2762-F138-4A5C-976F-8EAC2B608ADB}">
              <a16:predDERef xmlns:a16="http://schemas.microsoft.com/office/drawing/2014/main" pred="{001A97DD-FDB3-4A5E-B355-8CFA92A1F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91675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FAF7C9F1-F9A6-4172-93E9-204456FD0BAF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B4FBD53-66C1-448B-A5B2-A92890E5E4CE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6267D42D-599F-46DB-84E3-1F0257E6EDA6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278FBB-A4AB-428D-BB07-964E7788B71B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9A0A17-EAF5-4137-B365-47717851CFE7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86339F-DC8A-443A-95CE-11FE648A2A39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238125</xdr:colOff>
      <xdr:row>46</xdr:row>
      <xdr:rowOff>47625</xdr:rowOff>
    </xdr:from>
    <xdr:to>
      <xdr:col>15</xdr:col>
      <xdr:colOff>57150</xdr:colOff>
      <xdr:row>51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591B68-72EB-4C64-A86F-102DE4E5EBFF}"/>
            </a:ext>
            <a:ext uri="{147F2762-F138-4A5C-976F-8EAC2B608ADB}">
              <a16:predDERef xmlns:a16="http://schemas.microsoft.com/office/drawing/2014/main" pred="{CE86339F-DC8A-443A-95CE-11FE648A2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4125" y="98393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A54E10-20BA-4DD4-8F93-68B28D5C8566}"/>
            </a:ext>
            <a:ext uri="{147F2762-F138-4A5C-976F-8EAC2B608ADB}">
              <a16:predDERef xmlns:a16="http://schemas.microsoft.com/office/drawing/2014/main" pred="{86591B68-72EB-4C64-A86F-102DE4E5E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314325</xdr:colOff>
      <xdr:row>46</xdr:row>
      <xdr:rowOff>47625</xdr:rowOff>
    </xdr:from>
    <xdr:to>
      <xdr:col>22</xdr:col>
      <xdr:colOff>400050</xdr:colOff>
      <xdr:row>51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8EF521-6954-4628-93CE-0A30AC03E4CE}"/>
            </a:ext>
            <a:ext uri="{147F2762-F138-4A5C-976F-8EAC2B608ADB}">
              <a16:predDERef xmlns:a16="http://schemas.microsoft.com/office/drawing/2014/main" pred="{66A54E10-20BA-4DD4-8F93-68B28D5C8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2625" y="9839325"/>
          <a:ext cx="923925" cy="9239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9128F80E-79E5-4ED3-B087-92203B082C0C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EC4521B8-A208-4E8A-8A8F-E31A4E511FB2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6535A340-40FE-462B-83D9-AE978DAB08CE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E1B1EA-582F-4321-B2D9-F03527A02F61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B843F4-0CF5-4216-A62B-FB7B2BF97294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EAD0B4-28DA-45D2-A9B4-6942B2D1C61D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276225</xdr:colOff>
      <xdr:row>46</xdr:row>
      <xdr:rowOff>95250</xdr:rowOff>
    </xdr:from>
    <xdr:to>
      <xdr:col>15</xdr:col>
      <xdr:colOff>95250</xdr:colOff>
      <xdr:row>51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C9BD94-1982-4D18-B9C6-8FAFC7E5B357}"/>
            </a:ext>
            <a:ext uri="{147F2762-F138-4A5C-976F-8EAC2B608ADB}">
              <a16:predDERef xmlns:a16="http://schemas.microsoft.com/office/drawing/2014/main" pred="{8DEAD0B4-28DA-45D2-A9B4-6942B2D1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988695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EDF774-0516-4585-B4A1-9DBEAA3D3348}"/>
            </a:ext>
            <a:ext uri="{147F2762-F138-4A5C-976F-8EAC2B608ADB}">
              <a16:predDERef xmlns:a16="http://schemas.microsoft.com/office/drawing/2014/main" pred="{D4C9BD94-1982-4D18-B9C6-8FAFC7E5B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171450</xdr:colOff>
      <xdr:row>46</xdr:row>
      <xdr:rowOff>76200</xdr:rowOff>
    </xdr:from>
    <xdr:to>
      <xdr:col>22</xdr:col>
      <xdr:colOff>257175</xdr:colOff>
      <xdr:row>51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978613-1FBA-4199-8291-664C2C0E5B8C}"/>
            </a:ext>
            <a:ext uri="{147F2762-F138-4A5C-976F-8EAC2B608ADB}">
              <a16:predDERef xmlns:a16="http://schemas.microsoft.com/office/drawing/2014/main" pred="{A0EDF774-0516-4585-B4A1-9DBEAA3D3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0" y="9867900"/>
          <a:ext cx="923925" cy="9239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CD7F73E7-56B4-4A3B-AE75-EF6AB04EE3AC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63690EA-6B35-4866-9807-284F8D47CE37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5918AD53-5539-4BF8-A5EC-FD4A457700A9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8F02CA-E23D-491A-8B83-148194653E8F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FDD66DE-A82A-4F90-B78B-8BD37718C6D8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4C4ACC-F84F-40C6-8EC8-4A8C16818CC9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276225</xdr:colOff>
      <xdr:row>46</xdr:row>
      <xdr:rowOff>57150</xdr:rowOff>
    </xdr:from>
    <xdr:to>
      <xdr:col>15</xdr:col>
      <xdr:colOff>95250</xdr:colOff>
      <xdr:row>51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E8144A-D0CC-44A0-A37F-D6C1FC2B9D1A}"/>
            </a:ext>
            <a:ext uri="{147F2762-F138-4A5C-976F-8EAC2B608ADB}">
              <a16:predDERef xmlns:a16="http://schemas.microsoft.com/office/drawing/2014/main" pred="{DE4C4ACC-F84F-40C6-8EC8-4A8C16818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984885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0D36B36-36BB-4342-8327-B4A9003CA0DE}"/>
            </a:ext>
            <a:ext uri="{147F2762-F138-4A5C-976F-8EAC2B608ADB}">
              <a16:predDERef xmlns:a16="http://schemas.microsoft.com/office/drawing/2014/main" pred="{65E8144A-D0CC-44A0-A37F-D6C1FC2B9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352425</xdr:colOff>
      <xdr:row>46</xdr:row>
      <xdr:rowOff>38100</xdr:rowOff>
    </xdr:from>
    <xdr:to>
      <xdr:col>23</xdr:col>
      <xdr:colOff>19050</xdr:colOff>
      <xdr:row>51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2539A3-858E-4497-9CD0-826DFED26EAC}"/>
            </a:ext>
            <a:ext uri="{147F2762-F138-4A5C-976F-8EAC2B608ADB}">
              <a16:predDERef xmlns:a16="http://schemas.microsoft.com/office/drawing/2014/main" pred="{20D36B36-36BB-4342-8327-B4A9003CA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0725" y="9829800"/>
          <a:ext cx="923925" cy="9239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90346A58-2B8B-4BAA-9C1A-9DE08596E6AB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3692ACD7-BB21-4213-BFD7-BBC168F50166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BF59A15A-8FE5-4F41-92CC-C4106862637B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2E72D1-9240-4E64-8A12-88AFD031B9AF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001DF3-A07A-46CB-9F28-31D76644B463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B9D080-F2E5-42B4-935C-62CEDC6C96E6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200025</xdr:colOff>
      <xdr:row>46</xdr:row>
      <xdr:rowOff>66675</xdr:rowOff>
    </xdr:from>
    <xdr:to>
      <xdr:col>15</xdr:col>
      <xdr:colOff>19050</xdr:colOff>
      <xdr:row>51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5016DC-512B-4D9E-92B0-173E64278406}"/>
            </a:ext>
            <a:ext uri="{147F2762-F138-4A5C-976F-8EAC2B608ADB}">
              <a16:predDERef xmlns:a16="http://schemas.microsoft.com/office/drawing/2014/main" pred="{80B9D080-F2E5-42B4-935C-62CEDC6C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1573A0-CBD2-4D81-8574-DCCC8AF1D2B9}"/>
            </a:ext>
            <a:ext uri="{147F2762-F138-4A5C-976F-8EAC2B608ADB}">
              <a16:predDERef xmlns:a16="http://schemas.microsoft.com/office/drawing/2014/main" pred="{6A5016DC-512B-4D9E-92B0-173E6427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247650</xdr:colOff>
      <xdr:row>46</xdr:row>
      <xdr:rowOff>57150</xdr:rowOff>
    </xdr:from>
    <xdr:to>
      <xdr:col>22</xdr:col>
      <xdr:colOff>333375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F1E491-FAB2-414F-B84D-2AB3A3CEA7E2}"/>
            </a:ext>
            <a:ext uri="{147F2762-F138-4A5C-976F-8EAC2B608ADB}">
              <a16:predDERef xmlns:a16="http://schemas.microsoft.com/office/drawing/2014/main" pred="{8D1573A0-CBD2-4D81-8574-DCCC8AF1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05950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5BB14FBF-A173-46E5-9B7C-346966EC7309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5C964215-6C75-4389-898C-0918D7760AF0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D94622D1-D235-4C31-8C1B-67168F9B12A3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6422D2-AB1F-4F1C-84E1-DD05A6D22689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77DCB-247E-4743-BB75-6D846F067515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7CB135-AAB8-4226-B5EA-C483E08B9DBD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247650</xdr:colOff>
      <xdr:row>46</xdr:row>
      <xdr:rowOff>76200</xdr:rowOff>
    </xdr:from>
    <xdr:to>
      <xdr:col>15</xdr:col>
      <xdr:colOff>66675</xdr:colOff>
      <xdr:row>51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1C96DF-BF37-410F-9908-B99F146D6FBD}"/>
            </a:ext>
            <a:ext uri="{147F2762-F138-4A5C-976F-8EAC2B608ADB}">
              <a16:predDERef xmlns:a16="http://schemas.microsoft.com/office/drawing/2014/main" pred="{097CB135-AAB8-4226-B5EA-C483E08B9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3650" y="98679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C518AC-29D8-44AD-AEF9-5045AC119CCA}"/>
            </a:ext>
            <a:ext uri="{147F2762-F138-4A5C-976F-8EAC2B608ADB}">
              <a16:predDERef xmlns:a16="http://schemas.microsoft.com/office/drawing/2014/main" pred="{5E1C96DF-BF37-410F-9908-B99F146D6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333375</xdr:colOff>
      <xdr:row>46</xdr:row>
      <xdr:rowOff>57150</xdr:rowOff>
    </xdr:from>
    <xdr:to>
      <xdr:col>23</xdr:col>
      <xdr:colOff>0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348A07-7D9B-4F77-B35E-E703B0434EFE}"/>
            </a:ext>
            <a:ext uri="{147F2762-F138-4A5C-976F-8EAC2B608ADB}">
              <a16:predDERef xmlns:a16="http://schemas.microsoft.com/office/drawing/2014/main" pred="{8EC518AC-29D8-44AD-AEF9-5045AC119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91675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A7BA7209-BC15-4867-B95F-FC59F68A92E3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DF1A5C47-75B8-4171-8F47-F1449811F72E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E02BB25F-0198-42CD-A897-5248FCADB510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767082-584F-4730-9EFE-4342152A89BE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861CD1-EB34-471D-84C9-3CE9E4653922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BFF7C6-831E-4C0F-992B-24DCACDB85E0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133350</xdr:colOff>
      <xdr:row>46</xdr:row>
      <xdr:rowOff>28575</xdr:rowOff>
    </xdr:from>
    <xdr:to>
      <xdr:col>14</xdr:col>
      <xdr:colOff>314325</xdr:colOff>
      <xdr:row>51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EAAF22-ED87-42D6-BAEC-6812095847C9}"/>
            </a:ext>
            <a:ext uri="{147F2762-F138-4A5C-976F-8EAC2B608ADB}">
              <a16:predDERef xmlns:a16="http://schemas.microsoft.com/office/drawing/2014/main" pred="{64BFF7C6-831E-4C0F-992B-24DCACDB8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50" y="98202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90D64D-8345-45D8-BD66-932DFFDABE3A}"/>
            </a:ext>
            <a:ext uri="{147F2762-F138-4A5C-976F-8EAC2B608ADB}">
              <a16:predDERef xmlns:a16="http://schemas.microsoft.com/office/drawing/2014/main" pred="{DAEAAF22-ED87-42D6-BAEC-681209584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46</xdr:row>
      <xdr:rowOff>19050</xdr:rowOff>
    </xdr:from>
    <xdr:to>
      <xdr:col>23</xdr:col>
      <xdr:colOff>9525</xdr:colOff>
      <xdr:row>51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E6E746-75A9-4F08-8471-AA2EA9C35BD5}"/>
            </a:ext>
            <a:ext uri="{147F2762-F138-4A5C-976F-8EAC2B608ADB}">
              <a16:predDERef xmlns:a16="http://schemas.microsoft.com/office/drawing/2014/main" pred="{C790D64D-8345-45D8-BD66-932DFFDA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9810750"/>
          <a:ext cx="923925" cy="9239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10FFEDB-2D5A-4A66-9949-35B5298668B3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2B40FE7F-54A9-4747-8506-1A5563C0BD80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A7AFCFB0-36D3-4325-B102-C3E33342A6B0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0CAAE3-FFA5-4EA2-9A2D-A0F13A76DED6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56D534-8557-487C-A69F-039409D19D48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D9C049-1454-4A7B-AD33-D60317CCF2EF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171450</xdr:colOff>
      <xdr:row>46</xdr:row>
      <xdr:rowOff>57150</xdr:rowOff>
    </xdr:from>
    <xdr:to>
      <xdr:col>14</xdr:col>
      <xdr:colOff>352425</xdr:colOff>
      <xdr:row>51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4F6061-3354-4D9D-9D1A-E3D92807DED4}"/>
            </a:ext>
            <a:ext uri="{147F2762-F138-4A5C-976F-8EAC2B608ADB}">
              <a16:predDERef xmlns:a16="http://schemas.microsoft.com/office/drawing/2014/main" pred="{F4D9C049-1454-4A7B-AD33-D60317CC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7450" y="984885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095E47-BCA6-4845-A970-4804C95E7044}"/>
            </a:ext>
            <a:ext uri="{147F2762-F138-4A5C-976F-8EAC2B608ADB}">
              <a16:predDERef xmlns:a16="http://schemas.microsoft.com/office/drawing/2014/main" pred="{8A4F6061-3354-4D9D-9D1A-E3D92807D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46</xdr:row>
      <xdr:rowOff>57150</xdr:rowOff>
    </xdr:from>
    <xdr:to>
      <xdr:col>22</xdr:col>
      <xdr:colOff>276225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32FE26-614D-4AFE-8477-0CC16F8930BB}"/>
            </a:ext>
            <a:ext uri="{147F2762-F138-4A5C-976F-8EAC2B608ADB}">
              <a16:predDERef xmlns:a16="http://schemas.microsoft.com/office/drawing/2014/main" pred="{AE095E47-BCA6-4845-A970-4804C95E7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48800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BC5E838E-F820-446D-A095-4C20C9070409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2AC56AA-7A0A-4AAA-B399-A51E910E4FC7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1D23FDE5-CF98-4483-AE17-CCB3E60B8C1E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B100C6-39AC-4071-9C8B-86448AD33647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11057AF-B7FA-40A2-A212-F271C93C1A0B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8E655A-9160-45FC-B7D0-C33FD7584542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266700</xdr:colOff>
      <xdr:row>46</xdr:row>
      <xdr:rowOff>66675</xdr:rowOff>
    </xdr:from>
    <xdr:to>
      <xdr:col>15</xdr:col>
      <xdr:colOff>85725</xdr:colOff>
      <xdr:row>51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6F123E-F186-4DBF-ADEC-17B6897E1D99}"/>
            </a:ext>
            <a:ext uri="{147F2762-F138-4A5C-976F-8EAC2B608ADB}">
              <a16:predDERef xmlns:a16="http://schemas.microsoft.com/office/drawing/2014/main" pred="{A48E655A-9160-45FC-B7D0-C33FD7584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985837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0E25A6-42E1-46CE-AF15-ED789387EB5C}"/>
            </a:ext>
            <a:ext uri="{147F2762-F138-4A5C-976F-8EAC2B608ADB}">
              <a16:predDERef xmlns:a16="http://schemas.microsoft.com/office/drawing/2014/main" pred="{536F123E-F186-4DBF-ADEC-17B6897E1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133350</xdr:colOff>
      <xdr:row>46</xdr:row>
      <xdr:rowOff>38100</xdr:rowOff>
    </xdr:from>
    <xdr:to>
      <xdr:col>22</xdr:col>
      <xdr:colOff>219075</xdr:colOff>
      <xdr:row>51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A716C9-8C99-4067-B70A-89268EBBAE81}"/>
            </a:ext>
            <a:ext uri="{147F2762-F138-4A5C-976F-8EAC2B608ADB}">
              <a16:predDERef xmlns:a16="http://schemas.microsoft.com/office/drawing/2014/main" pred="{C80E25A6-42E1-46CE-AF15-ED789387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1650" y="9829800"/>
          <a:ext cx="923925" cy="92392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F64759E6-FA96-419B-9363-7B3500D08E51}"/>
            </a:ext>
          </a:extLst>
        </xdr:cNvPr>
        <xdr:cNvSpPr txBox="1">
          <a:spLocks noChangeArrowheads="1"/>
        </xdr:cNvSpPr>
      </xdr:nvSpPr>
      <xdr:spPr bwMode="auto">
        <a:xfrm>
          <a:off x="7905750" y="33147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B7E060DC-F72A-4774-A5BF-CA012631FFF2}"/>
            </a:ext>
            <a:ext uri="{147F2762-F138-4A5C-976F-8EAC2B608ADB}">
              <a16:predDERef xmlns:a16="http://schemas.microsoft.com/office/drawing/2014/main" pred="{29A5D435-1838-497C-BBBA-86C9DBA4FB1C}"/>
            </a:ext>
          </a:extLst>
        </xdr:cNvPr>
        <xdr:cNvSpPr txBox="1">
          <a:spLocks noChangeArrowheads="1"/>
        </xdr:cNvSpPr>
      </xdr:nvSpPr>
      <xdr:spPr bwMode="auto">
        <a:xfrm>
          <a:off x="7943850" y="3286125"/>
          <a:ext cx="476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AB7B0A7B-5CB6-44AD-93F3-987B32DAC56B}"/>
            </a:ext>
            <a:ext uri="{147F2762-F138-4A5C-976F-8EAC2B608ADB}">
              <a16:predDERef xmlns:a16="http://schemas.microsoft.com/office/drawing/2014/main" pred="{BA6CA069-DC6D-4F4A-B245-2FDFED1AD89D}"/>
            </a:ext>
          </a:extLst>
        </xdr:cNvPr>
        <xdr:cNvSpPr>
          <a:spLocks noChangeArrowheads="1"/>
        </xdr:cNvSpPr>
      </xdr:nvSpPr>
      <xdr:spPr bwMode="auto">
        <a:xfrm>
          <a:off x="11001935" y="97849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5C1E8A-A43E-483E-9DB4-DDADC17F465E}"/>
            </a:ext>
            <a:ext uri="{147F2762-F138-4A5C-976F-8EAC2B608ADB}">
              <a16:predDERef xmlns:a16="http://schemas.microsoft.com/office/drawing/2014/main" pred="{F47BC6A4-FD72-46AD-8BB9-208274ED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375B42-A1C8-46AD-A54E-67A3DE20765E}"/>
            </a:ext>
            <a:ext uri="{147F2762-F138-4A5C-976F-8EAC2B608ADB}">
              <a16:predDERef xmlns:a16="http://schemas.microsoft.com/office/drawing/2014/main" pred="{56E6A3B6-E5E3-4992-8191-0104EEA400E9}"/>
            </a:ext>
          </a:extLst>
        </xdr:cNvPr>
        <xdr:cNvSpPr txBox="1"/>
      </xdr:nvSpPr>
      <xdr:spPr>
        <a:xfrm>
          <a:off x="13151274" y="2108752"/>
          <a:ext cx="637614" cy="248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5D72CC-0447-4190-8184-DADF68D2F4E5}"/>
            </a:ext>
            <a:ext uri="{147F2762-F138-4A5C-976F-8EAC2B608ADB}">
              <a16:predDERef xmlns:a16="http://schemas.microsoft.com/office/drawing/2014/main" pred="{31545203-305E-46B7-AEF1-7E3499B1AF92}"/>
            </a:ext>
          </a:extLst>
        </xdr:cNvPr>
        <xdr:cNvSpPr txBox="1"/>
      </xdr:nvSpPr>
      <xdr:spPr>
        <a:xfrm>
          <a:off x="13058775" y="1650626"/>
          <a:ext cx="733425" cy="195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12</xdr:col>
      <xdr:colOff>257175</xdr:colOff>
      <xdr:row>46</xdr:row>
      <xdr:rowOff>76200</xdr:rowOff>
    </xdr:from>
    <xdr:to>
      <xdr:col>15</xdr:col>
      <xdr:colOff>76200</xdr:colOff>
      <xdr:row>51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1E0832-DDE1-4FFB-8469-F2E556DC861C}"/>
            </a:ext>
            <a:ext uri="{147F2762-F138-4A5C-976F-8EAC2B608ADB}">
              <a16:predDERef xmlns:a16="http://schemas.microsoft.com/office/drawing/2014/main" pred="{BB5D72CC-0447-4190-8184-DADF68D2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3175" y="98679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46</xdr:row>
      <xdr:rowOff>38100</xdr:rowOff>
    </xdr:from>
    <xdr:to>
      <xdr:col>18</xdr:col>
      <xdr:colOff>857250</xdr:colOff>
      <xdr:row>51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1C7B72-B3A2-4AE1-84E7-4A73C127D8F3}"/>
            </a:ext>
            <a:ext uri="{147F2762-F138-4A5C-976F-8EAC2B608ADB}">
              <a16:predDERef xmlns:a16="http://schemas.microsoft.com/office/drawing/2014/main" pred="{121E0832-DDE1-4FFB-8469-F2E556DC8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9829800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20</xdr:col>
      <xdr:colOff>295275</xdr:colOff>
      <xdr:row>46</xdr:row>
      <xdr:rowOff>57150</xdr:rowOff>
    </xdr:from>
    <xdr:to>
      <xdr:col>22</xdr:col>
      <xdr:colOff>381000</xdr:colOff>
      <xdr:row>51</xdr:row>
      <xdr:rowOff>104775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E09DAF-6F21-4346-90A1-D087D1FF8E88}"/>
            </a:ext>
            <a:ext uri="{147F2762-F138-4A5C-976F-8EAC2B608ADB}">
              <a16:predDERef xmlns:a16="http://schemas.microsoft.com/office/drawing/2014/main" pred="{FF1C7B72-B3A2-4AE1-84E7-4A73C127D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53575" y="9848850"/>
          <a:ext cx="923925" cy="92392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8B7F7B84-9FF0-4A2F-AE55-206C2AF388CA}"/>
            </a:ext>
          </a:extLst>
        </xdr:cNvPr>
        <xdr:cNvSpPr txBox="1">
          <a:spLocks noChangeArrowheads="1"/>
        </xdr:cNvSpPr>
      </xdr:nvSpPr>
      <xdr:spPr bwMode="auto">
        <a:xfrm>
          <a:off x="7905750" y="30480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45AC7F4D-C95C-40E7-819F-D06C6123B49C}"/>
            </a:ext>
          </a:extLst>
        </xdr:cNvPr>
        <xdr:cNvSpPr txBox="1">
          <a:spLocks noChangeArrowheads="1"/>
        </xdr:cNvSpPr>
      </xdr:nvSpPr>
      <xdr:spPr bwMode="auto">
        <a:xfrm>
          <a:off x="7943850" y="3048000"/>
          <a:ext cx="476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4E8A87AF-61BF-470E-9407-26F54B353768}"/>
            </a:ext>
          </a:extLst>
        </xdr:cNvPr>
        <xdr:cNvSpPr>
          <a:spLocks noChangeArrowheads="1"/>
        </xdr:cNvSpPr>
      </xdr:nvSpPr>
      <xdr:spPr bwMode="auto">
        <a:xfrm>
          <a:off x="11001935" y="86800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D6F00E-6E7E-4F95-82CA-E6FD7AD87C88}"/>
            </a:ext>
            <a:ext uri="{147F2762-F138-4A5C-976F-8EAC2B608ADB}">
              <a16:predDERef xmlns:a16="http://schemas.microsoft.com/office/drawing/2014/main" pred="{4E8A87AF-61BF-470E-9407-26F54B353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6D6A5D-852C-4DB5-A5BF-DAC49526934F}"/>
            </a:ext>
          </a:extLst>
        </xdr:cNvPr>
        <xdr:cNvSpPr txBox="1"/>
      </xdr:nvSpPr>
      <xdr:spPr>
        <a:xfrm>
          <a:off x="13151274" y="2127802"/>
          <a:ext cx="637614" cy="20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C9B1C9-1DD0-4643-A9E0-D42719C8E469}"/>
            </a:ext>
          </a:extLst>
        </xdr:cNvPr>
        <xdr:cNvSpPr txBox="1"/>
      </xdr:nvSpPr>
      <xdr:spPr>
        <a:xfrm>
          <a:off x="13058775" y="1650626"/>
          <a:ext cx="733425" cy="262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15</xdr:row>
      <xdr:rowOff>0</xdr:rowOff>
    </xdr:from>
    <xdr:to>
      <xdr:col>18</xdr:col>
      <xdr:colOff>542925</xdr:colOff>
      <xdr:row>15</xdr:row>
      <xdr:rowOff>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B32714E-C408-4D5C-BC73-35710079B1BE}"/>
            </a:ext>
          </a:extLst>
        </xdr:cNvPr>
        <xdr:cNvSpPr txBox="1">
          <a:spLocks noChangeArrowheads="1"/>
        </xdr:cNvSpPr>
      </xdr:nvSpPr>
      <xdr:spPr bwMode="auto">
        <a:xfrm>
          <a:off x="7905750" y="30480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Delivery</a:t>
          </a:r>
        </a:p>
      </xdr:txBody>
    </xdr:sp>
    <xdr:clientData/>
  </xdr:twoCellAnchor>
  <xdr:twoCellAnchor>
    <xdr:from>
      <xdr:col>18</xdr:col>
      <xdr:colOff>85725</xdr:colOff>
      <xdr:row>14</xdr:row>
      <xdr:rowOff>190500</xdr:rowOff>
    </xdr:from>
    <xdr:to>
      <xdr:col>18</xdr:col>
      <xdr:colOff>561975</xdr:colOff>
      <xdr:row>15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BDD394B7-29D3-4A1A-B5C8-A765DFFDB17B}"/>
            </a:ext>
          </a:extLst>
        </xdr:cNvPr>
        <xdr:cNvSpPr txBox="1">
          <a:spLocks noChangeArrowheads="1"/>
        </xdr:cNvSpPr>
      </xdr:nvSpPr>
      <xdr:spPr bwMode="auto">
        <a:xfrm>
          <a:off x="7943850" y="3048000"/>
          <a:ext cx="476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ordia New"/>
              <a:cs typeface="Cordia New"/>
            </a:rPr>
            <a:t>Quality</a:t>
          </a:r>
        </a:p>
      </xdr:txBody>
    </xdr:sp>
    <xdr:clientData/>
  </xdr:twoCellAnchor>
  <xdr:twoCellAnchor>
    <xdr:from>
      <xdr:col>24</xdr:col>
      <xdr:colOff>67235</xdr:colOff>
      <xdr:row>45</xdr:row>
      <xdr:rowOff>145677</xdr:rowOff>
    </xdr:from>
    <xdr:to>
      <xdr:col>24</xdr:col>
      <xdr:colOff>303436</xdr:colOff>
      <xdr:row>49</xdr:row>
      <xdr:rowOff>30817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8361F4B-400A-4DCB-817F-1BD69387C9D0}"/>
            </a:ext>
          </a:extLst>
        </xdr:cNvPr>
        <xdr:cNvSpPr>
          <a:spLocks noChangeArrowheads="1"/>
        </xdr:cNvSpPr>
      </xdr:nvSpPr>
      <xdr:spPr bwMode="auto">
        <a:xfrm>
          <a:off x="11001935" y="8680077"/>
          <a:ext cx="236201" cy="532840"/>
        </a:xfrm>
        <a:custGeom>
          <a:avLst/>
          <a:gdLst>
            <a:gd name="T0" fmla="*/ 2147483646 w 21600"/>
            <a:gd name="T1" fmla="*/ 0 h 21600"/>
            <a:gd name="T2" fmla="*/ 0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chemeClr val="bg2">
            <a:lumMod val="9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4484</xdr:colOff>
      <xdr:row>6</xdr:row>
      <xdr:rowOff>33617</xdr:rowOff>
    </xdr:from>
    <xdr:to>
      <xdr:col>30</xdr:col>
      <xdr:colOff>354104</xdr:colOff>
      <xdr:row>26</xdr:row>
      <xdr:rowOff>108136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70EB28-EC04-4FA3-BFF2-ED6F88B51984}"/>
            </a:ext>
            <a:ext uri="{147F2762-F138-4A5C-976F-8EAC2B608ADB}">
              <a16:predDERef xmlns:a16="http://schemas.microsoft.com/office/drawing/2014/main" pred="{08361F4B-400A-4DCB-817F-1BD69387C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121074</xdr:colOff>
      <xdr:row>9</xdr:row>
      <xdr:rowOff>108502</xdr:rowOff>
    </xdr:from>
    <xdr:to>
      <xdr:col>30</xdr:col>
      <xdr:colOff>339588</xdr:colOff>
      <xdr:row>10</xdr:row>
      <xdr:rowOff>137639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40A312D-7893-4AD3-AC2D-AEF7D460CA1D}"/>
            </a:ext>
          </a:extLst>
        </xdr:cNvPr>
        <xdr:cNvSpPr txBox="1"/>
      </xdr:nvSpPr>
      <xdr:spPr>
        <a:xfrm>
          <a:off x="13151274" y="2127802"/>
          <a:ext cx="637614" cy="20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33CC"/>
              </a:solidFill>
            </a:rPr>
            <a:t>Target</a:t>
          </a:r>
        </a:p>
      </xdr:txBody>
    </xdr:sp>
    <xdr:clientData/>
  </xdr:twoCellAnchor>
  <xdr:twoCellAnchor>
    <xdr:from>
      <xdr:col>29</xdr:col>
      <xdr:colOff>28575</xdr:colOff>
      <xdr:row>7</xdr:row>
      <xdr:rowOff>88526</xdr:rowOff>
    </xdr:from>
    <xdr:to>
      <xdr:col>30</xdr:col>
      <xdr:colOff>342900</xdr:colOff>
      <xdr:row>8</xdr:row>
      <xdr:rowOff>64995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8E58B71-8C62-4193-B52A-3CA492F9D8B8}"/>
            </a:ext>
          </a:extLst>
        </xdr:cNvPr>
        <xdr:cNvSpPr txBox="1"/>
      </xdr:nvSpPr>
      <xdr:spPr>
        <a:xfrm>
          <a:off x="13058775" y="1650626"/>
          <a:ext cx="733425" cy="262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rgbClr val="00B050"/>
              </a:solidFill>
            </a:rPr>
            <a:t>Excellent</a:t>
          </a:r>
        </a:p>
      </xdr:txBody>
    </xdr:sp>
    <xdr:clientData/>
  </xdr:twoCellAnchor>
  <xdr:twoCellAnchor editAs="oneCell">
    <xdr:from>
      <xdr:col>20</xdr:col>
      <xdr:colOff>314325</xdr:colOff>
      <xdr:row>46</xdr:row>
      <xdr:rowOff>19050</xdr:rowOff>
    </xdr:from>
    <xdr:to>
      <xdr:col>23</xdr:col>
      <xdr:colOff>95250</xdr:colOff>
      <xdr:row>51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26DC18-F197-4DDD-BF3D-A29FCA4A85AC}"/>
            </a:ext>
            <a:ext uri="{147F2762-F138-4A5C-976F-8EAC2B608ADB}">
              <a16:predDERef xmlns:a16="http://schemas.microsoft.com/office/drawing/2014/main" pred="{68E58B71-8C62-4193-B52A-3CA492F9D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2625" y="8705850"/>
          <a:ext cx="1038225" cy="1038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rton%20Damaged%20Clar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on Damage File"/>
      <sheetName val="Sheet2"/>
      <sheetName val="Attach#1"/>
      <sheetName val="Attach#2"/>
      <sheetName val="Attach#3"/>
      <sheetName val="CustomerPart"/>
      <sheetName val="CustomerList"/>
      <sheetName val="SymptomList"/>
      <sheetName val="STATUS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5E2E-DE9C-480C-9CB2-67726FEDB7D3}">
  <sheetPr>
    <tabColor rgb="FFFFFF00"/>
  </sheetPr>
  <dimension ref="A1:AS58"/>
  <sheetViews>
    <sheetView showGridLines="0" zoomScale="85" zoomScaleNormal="85" workbookViewId="0">
      <selection activeCell="AH7" sqref="AH7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6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/>
      <c r="D4" s="466"/>
      <c r="E4" s="466"/>
      <c r="F4" s="466"/>
      <c r="G4" s="466"/>
      <c r="H4" s="503" t="s">
        <v>8</v>
      </c>
      <c r="I4" s="466"/>
      <c r="J4" s="466"/>
      <c r="K4" s="466"/>
      <c r="L4" s="466"/>
      <c r="M4" s="466"/>
      <c r="N4" s="466"/>
      <c r="O4" s="466"/>
      <c r="P4" s="466"/>
      <c r="Q4" s="466"/>
      <c r="R4" s="74"/>
      <c r="S4" s="468" t="s">
        <v>9</v>
      </c>
      <c r="T4" s="505">
        <v>0.87</v>
      </c>
      <c r="U4" s="505"/>
      <c r="V4" s="506"/>
      <c r="W4" s="482" t="str">
        <f>IF(T4=1,"A",IF(T4&gt;=0.8,"B",IF(T4&gt;=0.7,"C",IF(O36&lt;0.7,"D"))))</f>
        <v>B</v>
      </c>
      <c r="X4" s="483"/>
      <c r="Y4" s="75"/>
      <c r="Z4" s="486">
        <f>AVERAGE(T34:AE34)</f>
        <v>1</v>
      </c>
      <c r="AA4" s="487"/>
      <c r="AB4" s="488"/>
      <c r="AC4" s="492" t="str">
        <f>IF(Z4=1,"A",IF(Z4&gt;=0.8,"B",IF(Z4&gt;=0.7,"C",IF(U36&lt;0.7,"D"))))</f>
        <v>A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507"/>
      <c r="U5" s="507"/>
      <c r="V5" s="508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22.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3.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5"/>
      <c r="AE9" s="18"/>
      <c r="AG9" s="73"/>
    </row>
    <row r="10" spans="1:39" ht="13.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5"/>
      <c r="N10" s="19">
        <v>0</v>
      </c>
      <c r="O10" s="95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3.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8"/>
      <c r="N11" s="61">
        <v>0</v>
      </c>
      <c r="O11" s="99">
        <f>N11*35</f>
        <v>0</v>
      </c>
      <c r="P11" s="395"/>
      <c r="Q11" s="396"/>
      <c r="R11" s="440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3.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8"/>
      <c r="N12" s="61">
        <v>0</v>
      </c>
      <c r="O12" s="99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3.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8"/>
      <c r="N13" s="20">
        <v>0</v>
      </c>
      <c r="O13" s="99">
        <f>N13*10</f>
        <v>0</v>
      </c>
      <c r="P13" s="395"/>
      <c r="Q13" s="396"/>
      <c r="R13" s="440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3.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8"/>
      <c r="N14" s="61">
        <v>0</v>
      </c>
      <c r="O14" s="99">
        <f>N14*10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3.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7"/>
      <c r="N15" s="61">
        <v>0</v>
      </c>
      <c r="O15" s="99">
        <f>N15*10</f>
        <v>0</v>
      </c>
      <c r="P15" s="395"/>
      <c r="Q15" s="396"/>
      <c r="R15" s="440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3.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8"/>
      <c r="N16" s="61">
        <v>0</v>
      </c>
      <c r="O16" s="99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3.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8"/>
      <c r="N17" s="61">
        <v>0</v>
      </c>
      <c r="O17" s="99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3.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14" t="s">
        <v>18</v>
      </c>
      <c r="K18" s="414"/>
      <c r="L18" s="499" t="s">
        <v>31</v>
      </c>
      <c r="M18" s="499"/>
      <c r="N18" s="21">
        <v>0</v>
      </c>
      <c r="O18" s="105">
        <f>N18*4</f>
        <v>0</v>
      </c>
      <c r="P18" s="395"/>
      <c r="Q18" s="396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3.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109"/>
      <c r="J19" s="498"/>
      <c r="K19" s="498"/>
      <c r="L19" s="498"/>
      <c r="M19" s="498"/>
      <c r="N19" s="110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3.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43">
        <v>10</v>
      </c>
      <c r="J20" s="444" t="s">
        <v>18</v>
      </c>
      <c r="K20" s="444"/>
      <c r="L20" s="445" t="s">
        <v>36</v>
      </c>
      <c r="M20" s="445"/>
      <c r="N20" s="19">
        <v>0</v>
      </c>
      <c r="O20" s="95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3.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435"/>
      <c r="L21" s="438" t="s">
        <v>36</v>
      </c>
      <c r="M21" s="438"/>
      <c r="N21" s="61">
        <v>0</v>
      </c>
      <c r="O21" s="99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3.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501"/>
      <c r="J22" s="414" t="s">
        <v>18</v>
      </c>
      <c r="K22" s="414"/>
      <c r="L22" s="499" t="s">
        <v>36</v>
      </c>
      <c r="M22" s="499"/>
      <c r="N22" s="21">
        <v>0</v>
      </c>
      <c r="O22" s="105">
        <f>N22*10</f>
        <v>0</v>
      </c>
      <c r="P22" s="397"/>
      <c r="Q22" s="398"/>
      <c r="AE22" s="18"/>
    </row>
    <row r="23" spans="1:35" ht="13.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117"/>
      <c r="J23" s="76"/>
      <c r="K23" s="76"/>
      <c r="L23" s="76"/>
      <c r="M23" s="76"/>
      <c r="N23" s="118"/>
      <c r="O23" s="119"/>
      <c r="P23" s="119"/>
      <c r="Q23" s="120"/>
      <c r="AE23" s="18"/>
    </row>
    <row r="24" spans="1:35" ht="13.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500">
        <v>40</v>
      </c>
      <c r="J24" s="389" t="s">
        <v>18</v>
      </c>
      <c r="K24" s="421"/>
      <c r="L24" s="422" t="s">
        <v>41</v>
      </c>
      <c r="M24" s="423"/>
      <c r="N24" s="19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3.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61">
        <v>0</v>
      </c>
      <c r="O25" s="95">
        <f t="shared" si="0"/>
        <v>0</v>
      </c>
      <c r="P25" s="395"/>
      <c r="Q25" s="396"/>
      <c r="AE25" s="18"/>
      <c r="AH25" s="404"/>
    </row>
    <row r="26" spans="1:35" ht="13.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61">
        <v>0</v>
      </c>
      <c r="O26" s="99">
        <f t="shared" si="0"/>
        <v>0</v>
      </c>
      <c r="P26" s="395"/>
      <c r="Q26" s="396"/>
      <c r="AE26" s="18"/>
      <c r="AH26" s="404"/>
    </row>
    <row r="27" spans="1:35" ht="13.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61">
        <v>0</v>
      </c>
      <c r="O27" s="99">
        <f t="shared" si="0"/>
        <v>0</v>
      </c>
      <c r="P27" s="395"/>
      <c r="Q27" s="396"/>
      <c r="AE27" s="18"/>
      <c r="AH27" s="404"/>
    </row>
    <row r="28" spans="1:35" ht="13.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61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3.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61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1">
        <v>0</v>
      </c>
      <c r="O30" s="105">
        <f t="shared" si="0"/>
        <v>0</v>
      </c>
      <c r="P30" s="397"/>
      <c r="Q30" s="398"/>
      <c r="R30" s="128"/>
      <c r="S30" s="129" t="s">
        <v>63</v>
      </c>
      <c r="T30" s="130">
        <v>0.8</v>
      </c>
      <c r="U30" s="130">
        <v>0.8</v>
      </c>
      <c r="V30" s="130">
        <v>0.8</v>
      </c>
      <c r="W30" s="130">
        <v>0.8</v>
      </c>
      <c r="X30" s="130">
        <v>0.8</v>
      </c>
      <c r="Y30" s="130">
        <v>0.8</v>
      </c>
      <c r="Z30" s="130">
        <v>0.8</v>
      </c>
      <c r="AA30" s="130">
        <v>0.8</v>
      </c>
      <c r="AB30" s="130">
        <v>0.8</v>
      </c>
      <c r="AC30" s="130">
        <v>0.8</v>
      </c>
      <c r="AD30" s="130">
        <v>0.8</v>
      </c>
      <c r="AE30" s="131">
        <v>0.8</v>
      </c>
      <c r="AG30" s="132"/>
      <c r="AH30" s="132"/>
      <c r="AI30" s="133"/>
    </row>
    <row r="31" spans="1:35" ht="13.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  <c r="O31" s="383"/>
      <c r="P31" s="383"/>
      <c r="Q31" s="385"/>
      <c r="S31" s="134" t="s">
        <v>65</v>
      </c>
      <c r="T31" s="22">
        <v>50</v>
      </c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/>
    </row>
    <row r="32" spans="1:35" ht="13.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421"/>
      <c r="L32" s="422" t="s">
        <v>67</v>
      </c>
      <c r="M32" s="423"/>
      <c r="N32" s="19">
        <v>0</v>
      </c>
      <c r="O32" s="95">
        <f>N32*10</f>
        <v>0</v>
      </c>
      <c r="P32" s="393">
        <f>SUM(O32:O34)</f>
        <v>0</v>
      </c>
      <c r="Q32" s="394"/>
      <c r="S32" s="134" t="s">
        <v>68</v>
      </c>
      <c r="T32" s="24">
        <v>40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5"/>
    </row>
    <row r="33" spans="1:39" ht="13.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8"/>
      <c r="L33" s="409" t="s">
        <v>70</v>
      </c>
      <c r="M33" s="410"/>
      <c r="N33" s="61">
        <v>0</v>
      </c>
      <c r="O33" s="99">
        <f>N33*5</f>
        <v>0</v>
      </c>
      <c r="P33" s="395"/>
      <c r="Q33" s="396"/>
      <c r="S33" s="138" t="s">
        <v>71</v>
      </c>
      <c r="T33" s="26">
        <v>10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7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379"/>
      <c r="L34" s="380" t="s">
        <v>73</v>
      </c>
      <c r="M34" s="381"/>
      <c r="N34" s="21">
        <v>0</v>
      </c>
      <c r="O34" s="105">
        <f>N34*2</f>
        <v>0</v>
      </c>
      <c r="P34" s="397"/>
      <c r="Q34" s="398"/>
      <c r="S34" s="59" t="s">
        <v>74</v>
      </c>
      <c r="T34" s="13">
        <f>IF(ISBLANK(T31),"-",(T31+T32+T33)/(IF(T32&gt;0,100,60)))</f>
        <v>1</v>
      </c>
      <c r="U34" s="13" t="str">
        <f t="shared" ref="U34:V34" si="1">IF(ISBLANK(U31),"-",(U31+U32+U33)/(IF(U32&gt;0,100,60)))</f>
        <v>-</v>
      </c>
      <c r="V34" s="13" t="str">
        <f t="shared" si="1"/>
        <v>-</v>
      </c>
      <c r="W34" s="13" t="str">
        <f t="shared" ref="W34:X34" si="2">IF(ISBLANK(W31),"-",(W31+W32+W33)/(IF(W32&gt;0,100,60)))</f>
        <v>-</v>
      </c>
      <c r="X34" s="13" t="str">
        <f t="shared" si="2"/>
        <v>-</v>
      </c>
      <c r="Y34" s="13" t="str">
        <f t="shared" ref="Y34:Z34" si="3">IF(ISBLANK(Y31),"-",(Y31+Y32+Y33)/(IF(Y32&gt;0,100,60)))</f>
        <v>-</v>
      </c>
      <c r="Z34" s="13" t="str">
        <f t="shared" si="3"/>
        <v>-</v>
      </c>
      <c r="AA34" s="13" t="str">
        <f t="shared" ref="AA34:AB34" si="4">IF(ISBLANK(AA31),"-",(AA31+AA32+AA33)/(IF(AA32&gt;0,100,60)))</f>
        <v>-</v>
      </c>
      <c r="AB34" s="13" t="str">
        <f t="shared" si="4"/>
        <v>-</v>
      </c>
      <c r="AC34" s="13" t="str">
        <f t="shared" ref="AC34:AD34" si="5">IF(ISBLANK(AC31),"-",(AC31+AC32+AC33)/(IF(AC32&gt;0,100,60)))</f>
        <v>-</v>
      </c>
      <c r="AD34" s="13" t="str">
        <f t="shared" si="5"/>
        <v>-</v>
      </c>
      <c r="AE34" s="14" t="str">
        <f t="shared" ref="AE34" si="6">IF(ISBLANK(AE31),"-",(AE31+AE32+AE33)/(IF(AE32&gt;0,100,60)))</f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90</v>
      </c>
      <c r="J35" s="371"/>
      <c r="K35" s="371"/>
      <c r="L35" s="371"/>
      <c r="M35" s="371"/>
      <c r="N35" s="371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A</v>
      </c>
      <c r="U35" s="15" t="str">
        <f t="shared" ref="U35:AE35" si="7">IF(U34="-","-",IF(U34=1,"A",IF(U34&gt;=0.8,"B",IF(U34&gt;=0.7,"C",IF(U34&lt;0.7,"D")))))</f>
        <v>-</v>
      </c>
      <c r="V35" s="15" t="str">
        <f t="shared" si="7"/>
        <v>-</v>
      </c>
      <c r="W35" s="15" t="str">
        <f t="shared" si="7"/>
        <v>-</v>
      </c>
      <c r="X35" s="15" t="str">
        <f t="shared" si="7"/>
        <v>-</v>
      </c>
      <c r="Y35" s="15" t="str">
        <f t="shared" si="7"/>
        <v>-</v>
      </c>
      <c r="Z35" s="15" t="str">
        <f t="shared" si="7"/>
        <v>-</v>
      </c>
      <c r="AA35" s="15" t="str">
        <f t="shared" si="7"/>
        <v>-</v>
      </c>
      <c r="AB35" s="15" t="str">
        <f t="shared" si="7"/>
        <v>-</v>
      </c>
      <c r="AC35" s="15" t="str">
        <f t="shared" si="7"/>
        <v>-</v>
      </c>
      <c r="AD35" s="15" t="str">
        <f t="shared" si="7"/>
        <v>-</v>
      </c>
      <c r="AE35" s="16" t="str">
        <f t="shared" si="7"/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 thickBo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 thickBo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D1:AE2"/>
    <mergeCell ref="A1:AC2"/>
    <mergeCell ref="S4:S5"/>
    <mergeCell ref="C3:Q3"/>
    <mergeCell ref="I4:Q5"/>
    <mergeCell ref="C4:G5"/>
    <mergeCell ref="Z3:AE3"/>
    <mergeCell ref="W4:X5"/>
    <mergeCell ref="W3:X3"/>
    <mergeCell ref="A4:B5"/>
    <mergeCell ref="H4:H5"/>
    <mergeCell ref="A3:B3"/>
    <mergeCell ref="T3:V3"/>
    <mergeCell ref="T4:V5"/>
    <mergeCell ref="C39:AE39"/>
    <mergeCell ref="A51:B52"/>
    <mergeCell ref="A49:B50"/>
    <mergeCell ref="A47:B48"/>
    <mergeCell ref="A45:B46"/>
    <mergeCell ref="D51:D52"/>
    <mergeCell ref="D49:D50"/>
    <mergeCell ref="D47:D48"/>
    <mergeCell ref="D45:D46"/>
    <mergeCell ref="C51:C52"/>
    <mergeCell ref="C49:C50"/>
    <mergeCell ref="C47:C48"/>
    <mergeCell ref="C45:C46"/>
    <mergeCell ref="E47:K48"/>
    <mergeCell ref="E45:K46"/>
    <mergeCell ref="A44:B44"/>
    <mergeCell ref="A40:B40"/>
    <mergeCell ref="C40:AE40"/>
    <mergeCell ref="A41:B41"/>
    <mergeCell ref="A42:B42"/>
    <mergeCell ref="M44:X44"/>
    <mergeCell ref="E44:K44"/>
    <mergeCell ref="K6:Q6"/>
    <mergeCell ref="A7:Q7"/>
    <mergeCell ref="A8:H8"/>
    <mergeCell ref="J8:M8"/>
    <mergeCell ref="N8:O8"/>
    <mergeCell ref="P8:Q8"/>
    <mergeCell ref="Z4:AB5"/>
    <mergeCell ref="AC4:AE5"/>
    <mergeCell ref="S8:Y8"/>
    <mergeCell ref="Z8:AE8"/>
    <mergeCell ref="A9:Q9"/>
    <mergeCell ref="I10:I18"/>
    <mergeCell ref="J10:K10"/>
    <mergeCell ref="L10:M10"/>
    <mergeCell ref="P10:Q18"/>
    <mergeCell ref="R13:S13"/>
    <mergeCell ref="W13:X13"/>
    <mergeCell ref="Y13:Z13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3:K13"/>
    <mergeCell ref="L13:M13"/>
    <mergeCell ref="AC15:AD15"/>
    <mergeCell ref="J16:K16"/>
    <mergeCell ref="L16:M16"/>
    <mergeCell ref="J17:K17"/>
    <mergeCell ref="L17:M17"/>
    <mergeCell ref="J18:K18"/>
    <mergeCell ref="AA13:AB13"/>
    <mergeCell ref="AC13:AD13"/>
    <mergeCell ref="J14:K14"/>
    <mergeCell ref="L14:M14"/>
    <mergeCell ref="J15:K15"/>
    <mergeCell ref="L15:M15"/>
    <mergeCell ref="R15:S15"/>
    <mergeCell ref="W15:X15"/>
    <mergeCell ref="Y15:Z15"/>
    <mergeCell ref="AA15:AB15"/>
    <mergeCell ref="AH24:AH27"/>
    <mergeCell ref="A25:H25"/>
    <mergeCell ref="J25:K25"/>
    <mergeCell ref="L25:M25"/>
    <mergeCell ref="J26:K26"/>
    <mergeCell ref="J30:K30"/>
    <mergeCell ref="L30:M30"/>
    <mergeCell ref="A22:H22"/>
    <mergeCell ref="J22:K22"/>
    <mergeCell ref="L22:M22"/>
    <mergeCell ref="I20:I22"/>
    <mergeCell ref="J20:K20"/>
    <mergeCell ref="L20:M20"/>
    <mergeCell ref="P20:Q22"/>
    <mergeCell ref="J21:K21"/>
    <mergeCell ref="L21:M21"/>
    <mergeCell ref="A35:H35"/>
    <mergeCell ref="I35:Q35"/>
    <mergeCell ref="A36:B36"/>
    <mergeCell ref="A37:B37"/>
    <mergeCell ref="C37:AE37"/>
    <mergeCell ref="L26:M26"/>
    <mergeCell ref="J27:K27"/>
    <mergeCell ref="L27:M27"/>
    <mergeCell ref="J28:K28"/>
    <mergeCell ref="L28:M28"/>
    <mergeCell ref="J29:K29"/>
    <mergeCell ref="L29:M29"/>
    <mergeCell ref="J34:K34"/>
    <mergeCell ref="L34:M34"/>
    <mergeCell ref="I24:I30"/>
    <mergeCell ref="J24:K24"/>
    <mergeCell ref="L24:M24"/>
    <mergeCell ref="P24:Q30"/>
    <mergeCell ref="K57:R57"/>
    <mergeCell ref="S57:AE57"/>
    <mergeCell ref="A58:J58"/>
    <mergeCell ref="K58:R58"/>
    <mergeCell ref="S58:AE58"/>
    <mergeCell ref="E56:F56"/>
    <mergeCell ref="A57:J57"/>
    <mergeCell ref="Z44:AE46"/>
    <mergeCell ref="M45:P46"/>
    <mergeCell ref="Q45:T46"/>
    <mergeCell ref="U45:X46"/>
    <mergeCell ref="M47:P52"/>
    <mergeCell ref="Q47:T52"/>
    <mergeCell ref="U47:X52"/>
    <mergeCell ref="Z47:AE52"/>
    <mergeCell ref="J12:K12"/>
    <mergeCell ref="L12:M12"/>
    <mergeCell ref="J32:K32"/>
    <mergeCell ref="L32:M32"/>
    <mergeCell ref="J33:K33"/>
    <mergeCell ref="L33:M33"/>
    <mergeCell ref="A31:Q31"/>
    <mergeCell ref="P32:Q34"/>
    <mergeCell ref="I32:I34"/>
    <mergeCell ref="A23:H23"/>
    <mergeCell ref="J19:M19"/>
    <mergeCell ref="P19:Q19"/>
    <mergeCell ref="L18:M18"/>
  </mergeCells>
  <conditionalFormatting sqref="I4">
    <cfRule type="cellIs" dxfId="732" priority="8" stopIfTrue="1" operator="equal">
      <formula>""</formula>
    </cfRule>
  </conditionalFormatting>
  <conditionalFormatting sqref="N20:O22 N32:O34 N10:O18 N24:O30">
    <cfRule type="cellIs" dxfId="731" priority="7" operator="greaterThan">
      <formula>0</formula>
    </cfRule>
  </conditionalFormatting>
  <conditionalFormatting sqref="C3">
    <cfRule type="cellIs" dxfId="730" priority="6" stopIfTrue="1" operator="equal">
      <formula>""</formula>
    </cfRule>
  </conditionalFormatting>
  <conditionalFormatting sqref="C4">
    <cfRule type="cellIs" dxfId="729" priority="5" stopIfTrue="1" operator="equal">
      <formula>""</formula>
    </cfRule>
  </conditionalFormatting>
  <printOptions horizontalCentered="1" verticalCentered="1"/>
  <pageMargins left="0" right="0" top="0" bottom="0" header="0" footer="0"/>
  <pageSetup paperSize="9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7"/>
  <sheetViews>
    <sheetView showGridLines="0" workbookViewId="0">
      <selection activeCell="E4" sqref="E4"/>
    </sheetView>
  </sheetViews>
  <sheetFormatPr defaultRowHeight="21.75"/>
  <cols>
    <col min="1" max="1" width="4.7109375" style="1" customWidth="1"/>
    <col min="2" max="2" width="16.7109375" style="1" customWidth="1"/>
    <col min="3" max="3" width="43.7109375" style="1" customWidth="1"/>
    <col min="4" max="4" width="42.140625" style="1" customWidth="1"/>
    <col min="5" max="5" width="12.5703125" style="1" customWidth="1"/>
    <col min="6" max="6" width="13" style="1" customWidth="1"/>
    <col min="7" max="7" width="14.140625" style="1" customWidth="1"/>
    <col min="8" max="16384" width="9.140625" style="1"/>
  </cols>
  <sheetData>
    <row r="1" spans="1:14" ht="14.25" customHeight="1">
      <c r="G1" s="2" t="s">
        <v>111</v>
      </c>
    </row>
    <row r="2" spans="1:14" ht="38.25" customHeight="1">
      <c r="A2" s="509" t="s">
        <v>112</v>
      </c>
      <c r="B2" s="509"/>
      <c r="C2" s="509"/>
      <c r="D2" s="509"/>
      <c r="E2" s="509"/>
      <c r="F2" s="509"/>
      <c r="G2" s="509"/>
    </row>
    <row r="3" spans="1:14" s="10" customFormat="1" ht="29.25" customHeight="1">
      <c r="A3" s="9" t="s">
        <v>113</v>
      </c>
      <c r="B3" s="9" t="s">
        <v>114</v>
      </c>
      <c r="C3" s="9" t="s">
        <v>115</v>
      </c>
      <c r="D3" s="9" t="s">
        <v>116</v>
      </c>
      <c r="E3" s="9" t="s">
        <v>117</v>
      </c>
      <c r="F3" s="9" t="s">
        <v>118</v>
      </c>
      <c r="G3" s="9" t="s">
        <v>119</v>
      </c>
    </row>
    <row r="4" spans="1:14" ht="93" customHeight="1">
      <c r="A4" s="3"/>
      <c r="B4" s="3"/>
      <c r="C4" s="3"/>
      <c r="D4" s="3"/>
      <c r="E4" s="3"/>
      <c r="F4" s="4"/>
      <c r="G4" s="4"/>
    </row>
    <row r="5" spans="1:14" ht="93" customHeight="1">
      <c r="A5" s="3"/>
      <c r="B5" s="3"/>
      <c r="C5" s="3"/>
      <c r="D5" s="3"/>
      <c r="E5" s="3"/>
      <c r="F5" s="4"/>
      <c r="G5" s="4"/>
    </row>
    <row r="6" spans="1:14" ht="93" customHeight="1">
      <c r="A6" s="3"/>
      <c r="B6" s="3"/>
      <c r="C6" s="3"/>
      <c r="D6" s="3"/>
      <c r="E6" s="3"/>
      <c r="F6" s="4"/>
      <c r="G6" s="4"/>
    </row>
    <row r="7" spans="1:14" ht="93" customHeight="1">
      <c r="A7" s="3"/>
      <c r="B7" s="3"/>
      <c r="C7" s="3"/>
      <c r="D7" s="3"/>
      <c r="E7" s="3"/>
      <c r="F7" s="4"/>
      <c r="G7" s="4"/>
    </row>
    <row r="8" spans="1:14" ht="93" customHeight="1">
      <c r="A8" s="3"/>
      <c r="B8" s="3"/>
      <c r="C8" s="3"/>
      <c r="D8" s="3"/>
      <c r="E8" s="3"/>
      <c r="F8" s="4"/>
      <c r="G8" s="3"/>
      <c r="M8" s="5"/>
      <c r="N8" s="5"/>
    </row>
    <row r="9" spans="1:14">
      <c r="A9" s="6" t="s">
        <v>84</v>
      </c>
      <c r="B9" s="6"/>
      <c r="D9" s="7" t="s">
        <v>109</v>
      </c>
      <c r="G9" s="8" t="s">
        <v>120</v>
      </c>
      <c r="M9" s="5"/>
      <c r="N9" s="5"/>
    </row>
    <row r="10" spans="1:14">
      <c r="M10" s="5"/>
      <c r="N10" s="5"/>
    </row>
    <row r="11" spans="1:14">
      <c r="M11" s="5"/>
      <c r="N11" s="5"/>
    </row>
    <row r="21" spans="1:32">
      <c r="A21" s="11"/>
      <c r="AF21" s="12"/>
    </row>
    <row r="22" spans="1:32">
      <c r="A22" s="11"/>
      <c r="AF22" s="12"/>
    </row>
    <row r="23" spans="1:32">
      <c r="A23" s="11"/>
      <c r="AF23" s="12"/>
    </row>
    <row r="24" spans="1:32">
      <c r="A24" s="11"/>
      <c r="AF24" s="12"/>
    </row>
    <row r="25" spans="1:32">
      <c r="A25" s="11"/>
      <c r="AF25" s="12"/>
    </row>
    <row r="26" spans="1:32">
      <c r="A26" s="11"/>
      <c r="AF26" s="12"/>
    </row>
    <row r="27" spans="1:32">
      <c r="A27" s="11"/>
      <c r="AF27" s="12"/>
    </row>
    <row r="28" spans="1:32">
      <c r="A28" s="11"/>
      <c r="AF28" s="12"/>
    </row>
    <row r="29" spans="1:32">
      <c r="A29" s="11"/>
      <c r="AF29" s="12"/>
    </row>
    <row r="30" spans="1:32">
      <c r="A30" s="11"/>
      <c r="AF30" s="12"/>
    </row>
    <row r="31" spans="1:32">
      <c r="A31" s="11"/>
      <c r="AF31" s="12"/>
    </row>
    <row r="32" spans="1:32">
      <c r="A32" s="11"/>
      <c r="AF32" s="12"/>
    </row>
    <row r="33" spans="1:32">
      <c r="A33" s="11"/>
      <c r="AF33" s="12"/>
    </row>
    <row r="34" spans="1:32">
      <c r="A34" s="11"/>
      <c r="AF34" s="12"/>
    </row>
    <row r="35" spans="1:32">
      <c r="A35" s="11"/>
      <c r="AF35" s="12"/>
    </row>
    <row r="36" spans="1:32">
      <c r="A36" s="11"/>
      <c r="AF36" s="12"/>
    </row>
    <row r="37" spans="1:32">
      <c r="A37" s="11"/>
      <c r="AF37" s="12"/>
    </row>
  </sheetData>
  <mergeCells count="1">
    <mergeCell ref="A2:G2"/>
  </mergeCells>
  <printOptions horizontalCentered="1"/>
  <pageMargins left="0" right="0" top="0.5" bottom="0.2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6BD7-114F-41D3-BF35-E55CA689787A}">
  <sheetPr>
    <tabColor rgb="FFFFFF00"/>
  </sheetPr>
  <dimension ref="B1:J9"/>
  <sheetViews>
    <sheetView showGridLines="0" topLeftCell="A7" workbookViewId="0">
      <selection activeCell="I5" sqref="I5"/>
    </sheetView>
  </sheetViews>
  <sheetFormatPr defaultRowHeight="15"/>
  <cols>
    <col min="2" max="2" width="34.140625" customWidth="1"/>
    <col min="3" max="6" width="13.85546875" customWidth="1"/>
  </cols>
  <sheetData>
    <row r="1" spans="2:10" ht="22.5" customHeight="1">
      <c r="C1" s="58" t="s">
        <v>121</v>
      </c>
    </row>
    <row r="2" spans="2:10" ht="21">
      <c r="B2" s="44" t="s">
        <v>122</v>
      </c>
      <c r="C2" s="45" t="s">
        <v>9</v>
      </c>
      <c r="D2" s="45" t="s">
        <v>123</v>
      </c>
      <c r="E2" s="45" t="s">
        <v>124</v>
      </c>
      <c r="F2" s="45" t="s">
        <v>125</v>
      </c>
    </row>
    <row r="3" spans="2:10" ht="8.25" customHeight="1">
      <c r="C3" s="46"/>
      <c r="D3" s="46"/>
      <c r="E3" s="46"/>
      <c r="F3" s="46"/>
    </row>
    <row r="4" spans="2:10" ht="29.25">
      <c r="B4" s="47" t="s">
        <v>126</v>
      </c>
      <c r="C4" s="48">
        <v>50</v>
      </c>
      <c r="D4" s="48">
        <v>50</v>
      </c>
      <c r="E4" s="48">
        <v>50</v>
      </c>
      <c r="F4" s="48">
        <v>50</v>
      </c>
      <c r="J4" s="49"/>
    </row>
    <row r="5" spans="2:10" ht="29.25">
      <c r="B5" s="47" t="s">
        <v>127</v>
      </c>
      <c r="C5" s="48">
        <v>40</v>
      </c>
      <c r="D5" s="48">
        <v>40</v>
      </c>
      <c r="E5" s="50">
        <v>0</v>
      </c>
      <c r="F5" s="50">
        <v>0</v>
      </c>
    </row>
    <row r="6" spans="2:10" ht="32.25" thickBot="1">
      <c r="B6" s="51" t="s">
        <v>128</v>
      </c>
      <c r="C6" s="52">
        <v>10</v>
      </c>
      <c r="D6" s="52">
        <v>5</v>
      </c>
      <c r="E6" s="53">
        <v>0</v>
      </c>
      <c r="F6" s="53">
        <v>0</v>
      </c>
    </row>
    <row r="7" spans="2:10" ht="27.75" customHeight="1" thickTop="1" thickBot="1">
      <c r="B7" s="54" t="s">
        <v>129</v>
      </c>
      <c r="C7" s="56">
        <f t="shared" ref="C7:E7" si="0">IF(ISBLANK(C4),"-",(C4+C5+C6)/(IF(C5&gt;0,100,60)))</f>
        <v>1</v>
      </c>
      <c r="D7" s="56">
        <f t="shared" si="0"/>
        <v>0.95</v>
      </c>
      <c r="E7" s="56">
        <f t="shared" si="0"/>
        <v>0.83333333333333337</v>
      </c>
      <c r="F7" s="56">
        <f>IF(ISBLANK(F4),"-",(F4+F5+F6)/(IF(F5&gt;0,100,60)))</f>
        <v>0.83333333333333337</v>
      </c>
    </row>
    <row r="8" spans="2:10" ht="30.75" customHeight="1" thickTop="1" thickBot="1">
      <c r="B8" s="54" t="s">
        <v>130</v>
      </c>
      <c r="C8" s="57" t="str">
        <f t="shared" ref="C8:E8" si="1">IF(C7="-","-",IF(C7=1,"A",IF(C7&gt;=0.8,"B",IF(C7&gt;=0.7,"C",IF(C7&lt;0.7,"D")))))</f>
        <v>A</v>
      </c>
      <c r="D8" s="57" t="str">
        <f t="shared" si="1"/>
        <v>B</v>
      </c>
      <c r="E8" s="57" t="str">
        <f t="shared" si="1"/>
        <v>B</v>
      </c>
      <c r="F8" s="57" t="str">
        <f>IF(F7="-","-",IF(F7=1,"A",IF(F7&gt;=0.8,"B",IF(F7&gt;=0.7,"C",IF(F7&lt;0.7,"D")))))</f>
        <v>B</v>
      </c>
    </row>
    <row r="9" spans="2:10" ht="30" customHeight="1">
      <c r="C9" s="5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244B-E025-4C98-8F1F-B45B34367EC2}">
  <sheetPr>
    <tabColor rgb="FFFFFF99"/>
  </sheetPr>
  <dimension ref="A1:AJ52"/>
  <sheetViews>
    <sheetView showGridLines="0" topLeftCell="B38" zoomScale="80" zoomScaleNormal="80" workbookViewId="0">
      <selection activeCell="T51" sqref="T51"/>
    </sheetView>
  </sheetViews>
  <sheetFormatPr defaultColWidth="9.140625" defaultRowHeight="21.75"/>
  <cols>
    <col min="1" max="1" width="12.140625" style="180" customWidth="1"/>
    <col min="2" max="2" width="19.85546875" style="180" customWidth="1"/>
    <col min="3" max="3" width="29.7109375" style="180" customWidth="1"/>
    <col min="4" max="26" width="7.7109375" style="180" customWidth="1"/>
    <col min="27" max="27" width="10.5703125" style="180" customWidth="1"/>
    <col min="28" max="28" width="9.5703125" style="180" customWidth="1"/>
    <col min="29" max="29" width="8.85546875" style="180" customWidth="1"/>
    <col min="30" max="30" width="8.28515625" style="180" customWidth="1"/>
    <col min="31" max="31" width="1.42578125" style="180" customWidth="1"/>
    <col min="32" max="32" width="8.42578125" style="180" customWidth="1"/>
    <col min="33" max="33" width="9.140625" style="180" customWidth="1"/>
    <col min="34" max="16384" width="9.140625" style="180"/>
  </cols>
  <sheetData>
    <row r="1" spans="1:33" ht="40.5" customHeight="1">
      <c r="A1" s="179" t="s">
        <v>131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510" t="s">
        <v>132</v>
      </c>
      <c r="O1" s="510"/>
      <c r="P1" s="510"/>
      <c r="Q1" s="510"/>
      <c r="R1" s="510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</row>
    <row r="2" spans="1:33" ht="31.5" customHeight="1">
      <c r="A2" s="181"/>
      <c r="B2" s="181"/>
      <c r="C2" s="181"/>
      <c r="D2" s="181"/>
      <c r="E2" s="181"/>
      <c r="F2" s="181"/>
      <c r="P2" s="181"/>
      <c r="Q2" s="181"/>
      <c r="R2" s="181"/>
    </row>
    <row r="3" spans="1:33" ht="31.5" customHeight="1">
      <c r="A3" s="181"/>
      <c r="B3" s="181"/>
      <c r="C3" s="181"/>
      <c r="D3" s="181"/>
      <c r="E3" s="181"/>
      <c r="F3" s="181"/>
      <c r="P3" s="181"/>
      <c r="Q3" s="181"/>
      <c r="R3" s="181"/>
    </row>
    <row r="4" spans="1:33" ht="31.5" customHeight="1">
      <c r="A4" s="181"/>
      <c r="B4" s="181"/>
      <c r="C4" s="181"/>
      <c r="D4" s="181"/>
      <c r="E4" s="181"/>
      <c r="F4" s="181"/>
      <c r="P4" s="181"/>
      <c r="Q4" s="181"/>
      <c r="R4" s="181"/>
    </row>
    <row r="5" spans="1:33" ht="31.5" customHeight="1">
      <c r="A5" s="181"/>
      <c r="B5" s="181"/>
      <c r="C5" s="181"/>
      <c r="D5" s="181"/>
      <c r="E5" s="181"/>
      <c r="F5" s="181"/>
      <c r="P5" s="181"/>
      <c r="Q5" s="181"/>
      <c r="R5" s="181"/>
    </row>
    <row r="6" spans="1:33" ht="31.5" customHeight="1">
      <c r="A6" s="181"/>
      <c r="B6" s="181"/>
      <c r="C6" s="181"/>
      <c r="D6" s="181"/>
      <c r="E6" s="181"/>
      <c r="F6" s="181"/>
      <c r="P6" s="181"/>
      <c r="Q6" s="181"/>
      <c r="R6" s="181"/>
    </row>
    <row r="7" spans="1:33" ht="31.5" customHeight="1">
      <c r="A7" s="181"/>
      <c r="B7" s="181"/>
      <c r="C7" s="181"/>
      <c r="D7" s="181"/>
      <c r="E7" s="181"/>
      <c r="F7" s="181"/>
      <c r="P7" s="181"/>
      <c r="Q7" s="181"/>
      <c r="R7" s="181"/>
    </row>
    <row r="8" spans="1:33" ht="31.5" customHeight="1">
      <c r="A8" s="181"/>
      <c r="B8" s="181"/>
      <c r="C8" s="181"/>
      <c r="D8" s="181"/>
      <c r="E8" s="182" t="s">
        <v>133</v>
      </c>
      <c r="F8" s="181"/>
      <c r="P8" s="181"/>
      <c r="Q8" s="181"/>
      <c r="R8" s="181"/>
    </row>
    <row r="9" spans="1:33" ht="31.5" customHeight="1">
      <c r="A9" s="181"/>
      <c r="B9" s="181"/>
      <c r="C9" s="181"/>
      <c r="D9" s="181"/>
      <c r="E9" s="181"/>
      <c r="F9" s="181"/>
      <c r="P9" s="181"/>
      <c r="Q9" s="181"/>
      <c r="R9" s="181"/>
    </row>
    <row r="10" spans="1:33" ht="30" customHeight="1">
      <c r="A10" s="181"/>
      <c r="B10" s="181"/>
      <c r="C10" s="181"/>
      <c r="D10" s="181"/>
      <c r="E10" s="181"/>
      <c r="F10" s="181"/>
      <c r="P10" s="181"/>
      <c r="Q10" s="181"/>
      <c r="R10" s="181"/>
    </row>
    <row r="11" spans="1:33" ht="30.75" customHeight="1">
      <c r="C11" s="181"/>
      <c r="D11" s="181"/>
      <c r="J11" s="511"/>
      <c r="K11" s="511"/>
      <c r="L11" s="511"/>
      <c r="M11" s="511"/>
      <c r="N11" s="511"/>
      <c r="O11" s="511"/>
      <c r="P11" s="181"/>
      <c r="V11" s="511"/>
      <c r="W11" s="511"/>
      <c r="X11" s="511"/>
      <c r="Y11" s="511"/>
      <c r="Z11" s="511"/>
      <c r="AA11" s="511"/>
    </row>
    <row r="12" spans="1:33" ht="6.75" customHeight="1"/>
    <row r="13" spans="1:33" ht="15.75" customHeight="1" thickBot="1"/>
    <row r="14" spans="1:33" ht="23.25" customHeight="1" thickTop="1" thickBot="1">
      <c r="A14" s="522" t="s">
        <v>134</v>
      </c>
      <c r="B14" s="522" t="s">
        <v>135</v>
      </c>
      <c r="C14" s="524" t="s">
        <v>136</v>
      </c>
      <c r="D14" s="526" t="s">
        <v>137</v>
      </c>
      <c r="E14" s="527"/>
      <c r="F14" s="527"/>
      <c r="G14" s="527"/>
      <c r="H14" s="527"/>
      <c r="I14" s="527"/>
      <c r="J14" s="527"/>
      <c r="K14" s="527"/>
      <c r="L14" s="527"/>
      <c r="M14" s="527"/>
      <c r="N14" s="527"/>
      <c r="O14" s="528"/>
      <c r="P14" s="526" t="s">
        <v>138</v>
      </c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31" t="s">
        <v>139</v>
      </c>
      <c r="AC14" s="533" t="s">
        <v>140</v>
      </c>
      <c r="AD14" s="535" t="s">
        <v>141</v>
      </c>
      <c r="AE14" s="183"/>
      <c r="AF14" s="537" t="s">
        <v>142</v>
      </c>
      <c r="AG14" s="538"/>
    </row>
    <row r="15" spans="1:33">
      <c r="A15" s="523"/>
      <c r="B15" s="523"/>
      <c r="C15" s="525"/>
      <c r="D15" s="184" t="s">
        <v>9</v>
      </c>
      <c r="E15" s="184" t="s">
        <v>123</v>
      </c>
      <c r="F15" s="184" t="s">
        <v>124</v>
      </c>
      <c r="G15" s="184" t="s">
        <v>125</v>
      </c>
      <c r="H15" s="184" t="s">
        <v>143</v>
      </c>
      <c r="I15" s="184" t="s">
        <v>144</v>
      </c>
      <c r="J15" s="184" t="s">
        <v>145</v>
      </c>
      <c r="K15" s="184" t="s">
        <v>146</v>
      </c>
      <c r="L15" s="184" t="s">
        <v>147</v>
      </c>
      <c r="M15" s="184" t="s">
        <v>148</v>
      </c>
      <c r="N15" s="184" t="s">
        <v>149</v>
      </c>
      <c r="O15" s="184" t="s">
        <v>150</v>
      </c>
      <c r="P15" s="184" t="s">
        <v>9</v>
      </c>
      <c r="Q15" s="184" t="s">
        <v>123</v>
      </c>
      <c r="R15" s="184" t="s">
        <v>124</v>
      </c>
      <c r="S15" s="184" t="s">
        <v>125</v>
      </c>
      <c r="T15" s="184" t="s">
        <v>143</v>
      </c>
      <c r="U15" s="184" t="s">
        <v>144</v>
      </c>
      <c r="V15" s="184" t="s">
        <v>145</v>
      </c>
      <c r="W15" s="184" t="s">
        <v>146</v>
      </c>
      <c r="X15" s="184" t="s">
        <v>147</v>
      </c>
      <c r="Y15" s="184" t="s">
        <v>148</v>
      </c>
      <c r="Z15" s="184" t="s">
        <v>149</v>
      </c>
      <c r="AA15" s="184" t="s">
        <v>150</v>
      </c>
      <c r="AB15" s="532"/>
      <c r="AC15" s="534"/>
      <c r="AD15" s="536"/>
      <c r="AE15" s="183"/>
      <c r="AF15" s="185" t="s">
        <v>151</v>
      </c>
      <c r="AG15" s="186" t="s">
        <v>76</v>
      </c>
    </row>
    <row r="16" spans="1:33" ht="18" customHeight="1">
      <c r="A16" s="243" t="s">
        <v>152</v>
      </c>
      <c r="B16" s="244" t="s">
        <v>153</v>
      </c>
      <c r="C16" s="203" t="s">
        <v>154</v>
      </c>
      <c r="D16" s="190">
        <v>91</v>
      </c>
      <c r="E16" s="190">
        <v>83.33</v>
      </c>
      <c r="F16" s="190">
        <v>83.33</v>
      </c>
      <c r="G16" s="191">
        <v>92</v>
      </c>
      <c r="H16" s="190">
        <v>83.33</v>
      </c>
      <c r="I16" s="190">
        <v>92</v>
      </c>
      <c r="J16" s="190">
        <v>83.33</v>
      </c>
      <c r="K16" s="190">
        <v>83.33</v>
      </c>
      <c r="L16" s="192">
        <v>83.33</v>
      </c>
      <c r="M16" s="190">
        <v>83.33</v>
      </c>
      <c r="N16" s="190">
        <v>92</v>
      </c>
      <c r="O16" s="190">
        <v>83.33</v>
      </c>
      <c r="P16" s="190">
        <v>83.3</v>
      </c>
      <c r="Q16" s="190">
        <v>88</v>
      </c>
      <c r="R16" s="190">
        <v>83.33</v>
      </c>
      <c r="S16" s="191">
        <v>73.3</v>
      </c>
      <c r="T16" s="190">
        <v>83.3</v>
      </c>
      <c r="U16" s="190">
        <v>83.3</v>
      </c>
      <c r="V16" s="190">
        <v>76.7</v>
      </c>
      <c r="W16" s="190"/>
      <c r="X16" s="192"/>
      <c r="Y16" s="190"/>
      <c r="Z16" s="190"/>
      <c r="AA16" s="190"/>
      <c r="AB16" s="193">
        <f>AVERAGE(P16:AA16)</f>
        <v>81.604285714285723</v>
      </c>
      <c r="AC16" s="194">
        <v>80</v>
      </c>
      <c r="AD16" s="195" t="str">
        <f>IF(V16=100,"A",IF(V16&gt;=80,"B",IF(V16&gt;=70,"C",IF(V16&lt;70,"D"))))</f>
        <v>C</v>
      </c>
      <c r="AE16" s="196"/>
      <c r="AF16" s="197">
        <f>AVERAGE(Q16:V16)</f>
        <v>81.321666666666673</v>
      </c>
      <c r="AG16" s="202" t="str">
        <f>IF(AF16=100,"A",IF(AF16&gt;=80,"B",IF(AF16&gt;=70,"C",IF(AF16&lt;70,"D"))))</f>
        <v>B</v>
      </c>
    </row>
    <row r="17" spans="1:34" ht="18" customHeight="1">
      <c r="A17" s="243" t="s">
        <v>155</v>
      </c>
      <c r="B17" s="244" t="s">
        <v>156</v>
      </c>
      <c r="C17" s="208" t="s">
        <v>157</v>
      </c>
      <c r="D17" s="190">
        <v>83.33</v>
      </c>
      <c r="E17" s="190">
        <v>83.33</v>
      </c>
      <c r="F17" s="190">
        <v>83.33</v>
      </c>
      <c r="G17" s="191">
        <v>83.33</v>
      </c>
      <c r="H17" s="190">
        <v>83.33</v>
      </c>
      <c r="I17" s="190">
        <v>83.33</v>
      </c>
      <c r="J17" s="190">
        <v>92</v>
      </c>
      <c r="K17" s="190">
        <v>83.33</v>
      </c>
      <c r="L17" s="192">
        <v>76.67</v>
      </c>
      <c r="M17" s="190">
        <v>83.33</v>
      </c>
      <c r="N17" s="190">
        <v>83.33</v>
      </c>
      <c r="O17" s="190">
        <v>83.33</v>
      </c>
      <c r="P17" s="190">
        <v>92</v>
      </c>
      <c r="Q17" s="190">
        <v>83.3</v>
      </c>
      <c r="R17" s="190">
        <v>83.33</v>
      </c>
      <c r="S17" s="190">
        <v>83.3</v>
      </c>
      <c r="T17" s="190">
        <v>83.3</v>
      </c>
      <c r="U17" s="190">
        <v>83.3</v>
      </c>
      <c r="V17" s="190">
        <v>83.3</v>
      </c>
      <c r="W17" s="190"/>
      <c r="X17" s="192"/>
      <c r="Y17" s="190"/>
      <c r="Z17" s="190"/>
      <c r="AA17" s="190"/>
      <c r="AB17" s="193">
        <f>AVERAGE(P17:AA17)</f>
        <v>84.547142857142859</v>
      </c>
      <c r="AC17" s="194">
        <v>80</v>
      </c>
      <c r="AD17" s="195" t="str">
        <f t="shared" ref="AD17:AD42" si="0">IF(V17=100,"A",IF(V17&gt;=80,"B",IF(V17&gt;=70,"C",IF(V17&lt;70,"D"))))</f>
        <v>B</v>
      </c>
      <c r="AE17" s="196"/>
      <c r="AF17" s="197">
        <f>AVERAGE(Q17:V17)</f>
        <v>83.305000000000007</v>
      </c>
      <c r="AG17" s="202" t="str">
        <f>IF(AF17=100,"A",IF(AF17&gt;=80,"B",IF(AF17&gt;=70,"C",IF(AF17&lt;70,"D"))))</f>
        <v>B</v>
      </c>
    </row>
    <row r="18" spans="1:34" ht="18" customHeight="1">
      <c r="A18" s="243" t="s">
        <v>158</v>
      </c>
      <c r="B18" s="244" t="s">
        <v>159</v>
      </c>
      <c r="C18" s="249" t="s">
        <v>160</v>
      </c>
      <c r="D18" s="190">
        <v>83.33</v>
      </c>
      <c r="E18" s="190">
        <v>83.33</v>
      </c>
      <c r="F18" s="190">
        <v>83.33</v>
      </c>
      <c r="G18" s="190">
        <v>83.33</v>
      </c>
      <c r="H18" s="190">
        <v>83.33</v>
      </c>
      <c r="I18" s="190">
        <v>83.33</v>
      </c>
      <c r="J18" s="190">
        <v>83.33</v>
      </c>
      <c r="K18" s="190">
        <v>92</v>
      </c>
      <c r="L18" s="192">
        <v>92</v>
      </c>
      <c r="M18" s="190">
        <v>83.33</v>
      </c>
      <c r="N18" s="190">
        <v>92</v>
      </c>
      <c r="O18" s="190">
        <v>92</v>
      </c>
      <c r="P18" s="190">
        <v>92</v>
      </c>
      <c r="Q18" s="190">
        <v>83.3</v>
      </c>
      <c r="R18" s="190">
        <v>92</v>
      </c>
      <c r="S18" s="190">
        <v>83.3</v>
      </c>
      <c r="T18" s="190">
        <v>83.3</v>
      </c>
      <c r="U18" s="190">
        <v>83.3</v>
      </c>
      <c r="V18" s="190">
        <v>83.3</v>
      </c>
      <c r="W18" s="190"/>
      <c r="X18" s="192"/>
      <c r="Y18" s="190"/>
      <c r="Z18" s="190"/>
      <c r="AA18" s="190"/>
      <c r="AB18" s="193">
        <f>AVERAGE(P18:AA18)</f>
        <v>85.785714285714292</v>
      </c>
      <c r="AC18" s="194">
        <v>80</v>
      </c>
      <c r="AD18" s="195" t="str">
        <f t="shared" si="0"/>
        <v>B</v>
      </c>
      <c r="AE18" s="196"/>
      <c r="AF18" s="197">
        <f>AVERAGE(Q18:V18)</f>
        <v>84.750000000000014</v>
      </c>
      <c r="AG18" s="202" t="str">
        <f>IF(AF18=100,"A",IF(AF18&gt;=80,"B",IF(AF18&gt;=70,"C",IF(AF18&lt;70,"D"))))</f>
        <v>B</v>
      </c>
    </row>
    <row r="19" spans="1:34" ht="18" customHeight="1">
      <c r="A19" s="243" t="s">
        <v>161</v>
      </c>
      <c r="B19" s="244" t="s">
        <v>162</v>
      </c>
      <c r="C19" s="203" t="s">
        <v>163</v>
      </c>
      <c r="D19" s="190">
        <v>83.33</v>
      </c>
      <c r="E19" s="190">
        <v>92</v>
      </c>
      <c r="F19" s="190">
        <v>92</v>
      </c>
      <c r="G19" s="191">
        <v>92</v>
      </c>
      <c r="H19" s="190">
        <v>92</v>
      </c>
      <c r="I19" s="190">
        <v>83.33</v>
      </c>
      <c r="J19" s="190">
        <v>83.33</v>
      </c>
      <c r="K19" s="190">
        <v>92</v>
      </c>
      <c r="L19" s="192">
        <v>83.33</v>
      </c>
      <c r="M19" s="190">
        <v>83.33</v>
      </c>
      <c r="N19" s="190">
        <v>92</v>
      </c>
      <c r="O19" s="190">
        <v>95</v>
      </c>
      <c r="P19" s="190">
        <v>92</v>
      </c>
      <c r="Q19" s="190">
        <v>83.3</v>
      </c>
      <c r="R19" s="190">
        <v>83.33</v>
      </c>
      <c r="S19" s="191">
        <v>91</v>
      </c>
      <c r="T19" s="190">
        <v>92</v>
      </c>
      <c r="U19" s="190">
        <v>83.3</v>
      </c>
      <c r="V19" s="190">
        <v>83.3</v>
      </c>
      <c r="W19" s="190"/>
      <c r="X19" s="192"/>
      <c r="Y19" s="190"/>
      <c r="Z19" s="190"/>
      <c r="AA19" s="190"/>
      <c r="AB19" s="193">
        <f>AVERAGE(P19:AA19)</f>
        <v>86.889999999999986</v>
      </c>
      <c r="AC19" s="194">
        <v>80</v>
      </c>
      <c r="AD19" s="195" t="str">
        <f t="shared" si="0"/>
        <v>B</v>
      </c>
      <c r="AE19" s="196"/>
      <c r="AF19" s="197">
        <f>AVERAGE(Q19:V19)</f>
        <v>86.038333333333341</v>
      </c>
      <c r="AG19" s="202" t="str">
        <f>IF(AF19=100,"A",IF(AF19&gt;=80,"B",IF(AF19&gt;=70,"C",IF(AF19&lt;70,"D"))))</f>
        <v>B</v>
      </c>
    </row>
    <row r="20" spans="1:34" ht="18" customHeight="1">
      <c r="A20" s="243" t="s">
        <v>164</v>
      </c>
      <c r="B20" s="244" t="s">
        <v>165</v>
      </c>
      <c r="C20" s="207" t="s">
        <v>166</v>
      </c>
      <c r="D20" s="190">
        <v>92</v>
      </c>
      <c r="E20" s="190">
        <v>83.33</v>
      </c>
      <c r="F20" s="190">
        <v>83.33</v>
      </c>
      <c r="G20" s="191">
        <v>92</v>
      </c>
      <c r="H20" s="190">
        <v>83.33</v>
      </c>
      <c r="I20" s="190">
        <v>83.33</v>
      </c>
      <c r="J20" s="190">
        <v>83.33</v>
      </c>
      <c r="K20" s="190">
        <v>83.33</v>
      </c>
      <c r="L20" s="192">
        <v>83.33</v>
      </c>
      <c r="M20" s="190">
        <v>83.33</v>
      </c>
      <c r="N20" s="190">
        <v>92</v>
      </c>
      <c r="O20" s="190">
        <v>83.33</v>
      </c>
      <c r="P20" s="190">
        <v>92</v>
      </c>
      <c r="Q20" s="190">
        <v>83.3</v>
      </c>
      <c r="R20" s="190">
        <v>92</v>
      </c>
      <c r="S20" s="191">
        <v>83.3</v>
      </c>
      <c r="T20" s="190">
        <v>92</v>
      </c>
      <c r="U20" s="190">
        <v>83.3</v>
      </c>
      <c r="V20" s="190">
        <v>83.3</v>
      </c>
      <c r="W20" s="190"/>
      <c r="X20" s="192"/>
      <c r="Y20" s="190"/>
      <c r="Z20" s="190"/>
      <c r="AA20" s="190"/>
      <c r="AB20" s="193">
        <f>AVERAGE(P20:AA20)</f>
        <v>87.028571428571425</v>
      </c>
      <c r="AC20" s="194">
        <v>80</v>
      </c>
      <c r="AD20" s="195" t="str">
        <f t="shared" si="0"/>
        <v>B</v>
      </c>
      <c r="AE20" s="196"/>
      <c r="AF20" s="197">
        <f>AVERAGE(Q20:V20)</f>
        <v>86.2</v>
      </c>
      <c r="AG20" s="202" t="str">
        <f>IF(AF20=100,"A",IF(AF20&gt;=80,"B",IF(AF20&gt;=70,"C",IF(AF20&lt;70,"D"))))</f>
        <v>B</v>
      </c>
    </row>
    <row r="21" spans="1:34" ht="18" customHeight="1">
      <c r="A21" s="243" t="s">
        <v>167</v>
      </c>
      <c r="B21" s="244" t="s">
        <v>168</v>
      </c>
      <c r="C21" s="201" t="s">
        <v>169</v>
      </c>
      <c r="D21" s="190">
        <v>83.33</v>
      </c>
      <c r="E21" s="190">
        <v>92</v>
      </c>
      <c r="F21" s="190">
        <v>83.33</v>
      </c>
      <c r="G21" s="190">
        <v>83.33</v>
      </c>
      <c r="H21" s="190">
        <v>92</v>
      </c>
      <c r="I21" s="190">
        <v>92</v>
      </c>
      <c r="J21" s="190">
        <v>83.33</v>
      </c>
      <c r="K21" s="190">
        <v>83.33</v>
      </c>
      <c r="L21" s="192">
        <v>92</v>
      </c>
      <c r="M21" s="190">
        <v>92</v>
      </c>
      <c r="N21" s="190">
        <v>92</v>
      </c>
      <c r="O21" s="190">
        <v>92</v>
      </c>
      <c r="P21" s="190">
        <v>92</v>
      </c>
      <c r="Q21" s="190">
        <v>92</v>
      </c>
      <c r="R21" s="190">
        <v>92</v>
      </c>
      <c r="S21" s="190">
        <v>83.3</v>
      </c>
      <c r="T21" s="190">
        <v>92</v>
      </c>
      <c r="U21" s="190">
        <v>92</v>
      </c>
      <c r="V21" s="190">
        <v>83.3</v>
      </c>
      <c r="W21" s="190"/>
      <c r="X21" s="192"/>
      <c r="Y21" s="190"/>
      <c r="Z21" s="190"/>
      <c r="AA21" s="190"/>
      <c r="AB21" s="193">
        <f>AVERAGE(P21:AA21)</f>
        <v>89.514285714285705</v>
      </c>
      <c r="AC21" s="194">
        <v>80</v>
      </c>
      <c r="AD21" s="195" t="str">
        <f t="shared" si="0"/>
        <v>B</v>
      </c>
      <c r="AE21" s="196"/>
      <c r="AF21" s="197">
        <f>AVERAGE(Q21:V21)</f>
        <v>89.100000000000009</v>
      </c>
      <c r="AG21" s="202" t="str">
        <f>IF(AF21=100,"A",IF(AF21&gt;=80,"B",IF(AF21&gt;=70,"C",IF(AF21&lt;70,"D"))))</f>
        <v>B</v>
      </c>
    </row>
    <row r="22" spans="1:34" ht="21.95" customHeight="1">
      <c r="A22" s="243" t="s">
        <v>170</v>
      </c>
      <c r="B22" s="244" t="s">
        <v>171</v>
      </c>
      <c r="C22" s="205" t="s">
        <v>172</v>
      </c>
      <c r="D22" s="190">
        <v>83.33</v>
      </c>
      <c r="E22" s="190">
        <v>92</v>
      </c>
      <c r="F22" s="190">
        <v>92</v>
      </c>
      <c r="G22" s="191">
        <v>95</v>
      </c>
      <c r="H22" s="190">
        <v>83.33</v>
      </c>
      <c r="I22" s="190">
        <v>92</v>
      </c>
      <c r="J22" s="190">
        <v>92</v>
      </c>
      <c r="K22" s="190">
        <v>83.33</v>
      </c>
      <c r="L22" s="192">
        <v>92</v>
      </c>
      <c r="M22" s="190">
        <v>83.33</v>
      </c>
      <c r="N22" s="190">
        <v>83.33</v>
      </c>
      <c r="O22" s="190">
        <v>92</v>
      </c>
      <c r="P22" s="190">
        <v>95</v>
      </c>
      <c r="Q22" s="190">
        <v>92</v>
      </c>
      <c r="R22" s="190">
        <v>92</v>
      </c>
      <c r="S22" s="191">
        <v>83.3</v>
      </c>
      <c r="T22" s="190">
        <v>92</v>
      </c>
      <c r="U22" s="190">
        <v>95</v>
      </c>
      <c r="V22" s="190">
        <v>83.3</v>
      </c>
      <c r="W22" s="190"/>
      <c r="X22" s="192"/>
      <c r="Y22" s="190"/>
      <c r="Z22" s="190"/>
      <c r="AA22" s="190"/>
      <c r="AB22" s="193">
        <f>AVERAGE(P22:AA22)</f>
        <v>90.371428571428552</v>
      </c>
      <c r="AC22" s="194">
        <v>80</v>
      </c>
      <c r="AD22" s="195" t="str">
        <f t="shared" si="0"/>
        <v>B</v>
      </c>
      <c r="AE22" s="196"/>
      <c r="AF22" s="197">
        <f>AVERAGE(Q22:V22)</f>
        <v>89.600000000000009</v>
      </c>
      <c r="AG22" s="198" t="str">
        <f>IF(AF22=100,"A",IF(AF22&gt;=80,"B",IF(AF22&gt;=70,"C",IF(AF22&lt;70,"D"))))</f>
        <v>B</v>
      </c>
    </row>
    <row r="23" spans="1:34" ht="18" customHeight="1">
      <c r="A23" s="243" t="s">
        <v>173</v>
      </c>
      <c r="B23" s="244" t="s">
        <v>174</v>
      </c>
      <c r="C23" s="201" t="s">
        <v>175</v>
      </c>
      <c r="D23" s="190">
        <v>100</v>
      </c>
      <c r="E23" s="190">
        <v>100</v>
      </c>
      <c r="F23" s="190">
        <v>83.33</v>
      </c>
      <c r="G23" s="191">
        <v>95</v>
      </c>
      <c r="H23" s="190">
        <v>100</v>
      </c>
      <c r="I23" s="190">
        <v>100</v>
      </c>
      <c r="J23" s="190">
        <v>83.33</v>
      </c>
      <c r="K23" s="190">
        <v>100</v>
      </c>
      <c r="L23" s="192">
        <v>83.33</v>
      </c>
      <c r="M23" s="190">
        <v>95</v>
      </c>
      <c r="N23" s="190">
        <v>100</v>
      </c>
      <c r="O23" s="190">
        <v>83.33</v>
      </c>
      <c r="P23" s="190">
        <v>100</v>
      </c>
      <c r="Q23" s="190">
        <v>100</v>
      </c>
      <c r="R23" s="190">
        <v>100</v>
      </c>
      <c r="S23" s="191">
        <v>100</v>
      </c>
      <c r="T23" s="190">
        <v>100</v>
      </c>
      <c r="U23" s="190">
        <v>95</v>
      </c>
      <c r="V23" s="190">
        <v>83.3</v>
      </c>
      <c r="W23" s="190"/>
      <c r="X23" s="192"/>
      <c r="Y23" s="190"/>
      <c r="Z23" s="190"/>
      <c r="AA23" s="190"/>
      <c r="AB23" s="193">
        <f>AVERAGE(P23:AA23)</f>
        <v>96.899999999999991</v>
      </c>
      <c r="AC23" s="194">
        <v>80</v>
      </c>
      <c r="AD23" s="195" t="str">
        <f t="shared" si="0"/>
        <v>B</v>
      </c>
      <c r="AE23" s="196"/>
      <c r="AF23" s="197">
        <f>AVERAGE(Q23:V23)</f>
        <v>96.383333333333326</v>
      </c>
      <c r="AG23" s="202" t="str">
        <f>IF(AF23=100,"A",IF(AF23&gt;=80,"B",IF(AF23&gt;=70,"C",IF(AF23&lt;70,"D"))))</f>
        <v>B</v>
      </c>
    </row>
    <row r="24" spans="1:34" ht="18" customHeight="1">
      <c r="A24" s="243" t="s">
        <v>176</v>
      </c>
      <c r="B24" s="244" t="s">
        <v>177</v>
      </c>
      <c r="C24" s="205" t="s">
        <v>178</v>
      </c>
      <c r="D24" s="190">
        <v>92</v>
      </c>
      <c r="E24" s="190">
        <v>100</v>
      </c>
      <c r="F24" s="190">
        <v>95</v>
      </c>
      <c r="G24" s="191">
        <v>95</v>
      </c>
      <c r="H24" s="190">
        <v>92</v>
      </c>
      <c r="I24" s="190">
        <v>92</v>
      </c>
      <c r="J24" s="190">
        <v>95</v>
      </c>
      <c r="K24" s="190">
        <v>92</v>
      </c>
      <c r="L24" s="192">
        <v>91</v>
      </c>
      <c r="M24" s="190">
        <v>95</v>
      </c>
      <c r="N24" s="190">
        <v>92</v>
      </c>
      <c r="O24" s="190">
        <v>92</v>
      </c>
      <c r="P24" s="190">
        <v>92</v>
      </c>
      <c r="Q24" s="190">
        <v>88</v>
      </c>
      <c r="R24" s="190">
        <v>95</v>
      </c>
      <c r="S24" s="191">
        <v>95</v>
      </c>
      <c r="T24" s="278">
        <v>95</v>
      </c>
      <c r="U24" s="190">
        <v>92</v>
      </c>
      <c r="V24" s="190">
        <v>88</v>
      </c>
      <c r="W24" s="190"/>
      <c r="X24" s="192"/>
      <c r="Y24" s="190"/>
      <c r="Z24" s="190"/>
      <c r="AA24" s="190"/>
      <c r="AB24" s="193">
        <f>AVERAGE(P24:AA24)</f>
        <v>92.142857142857139</v>
      </c>
      <c r="AC24" s="194">
        <v>80</v>
      </c>
      <c r="AD24" s="195" t="str">
        <f t="shared" si="0"/>
        <v>B</v>
      </c>
      <c r="AE24" s="196"/>
      <c r="AF24" s="197">
        <f>AVERAGE(Q24:V24)</f>
        <v>92.166666666666671</v>
      </c>
      <c r="AG24" s="202" t="str">
        <f>IF(AF24=100,"A",IF(AF24&gt;=80,"B",IF(AF24&gt;=70,"C",IF(AF24&lt;70,"D"))))</f>
        <v>B</v>
      </c>
    </row>
    <row r="25" spans="1:34" ht="18" customHeight="1">
      <c r="A25" s="243" t="s">
        <v>179</v>
      </c>
      <c r="B25" s="244" t="s">
        <v>180</v>
      </c>
      <c r="C25" s="281" t="s">
        <v>180</v>
      </c>
      <c r="D25" s="190">
        <v>95</v>
      </c>
      <c r="E25" s="190">
        <v>92</v>
      </c>
      <c r="F25" s="190">
        <v>92</v>
      </c>
      <c r="G25" s="191">
        <v>80</v>
      </c>
      <c r="H25" s="190">
        <v>92</v>
      </c>
      <c r="I25" s="190">
        <v>92</v>
      </c>
      <c r="J25" s="190">
        <v>95</v>
      </c>
      <c r="K25" s="190">
        <v>100</v>
      </c>
      <c r="L25" s="192">
        <v>100</v>
      </c>
      <c r="M25" s="190">
        <v>83.33</v>
      </c>
      <c r="N25" s="190">
        <v>92</v>
      </c>
      <c r="O25" s="190">
        <v>83.33</v>
      </c>
      <c r="P25" s="190">
        <v>92</v>
      </c>
      <c r="Q25" s="190">
        <v>83.3</v>
      </c>
      <c r="R25" s="190">
        <v>100</v>
      </c>
      <c r="S25" s="191">
        <v>83.3</v>
      </c>
      <c r="T25" s="190">
        <v>95</v>
      </c>
      <c r="U25" s="190">
        <v>89</v>
      </c>
      <c r="V25" s="190">
        <v>89</v>
      </c>
      <c r="W25" s="190"/>
      <c r="X25" s="192"/>
      <c r="Y25" s="190"/>
      <c r="Z25" s="190"/>
      <c r="AA25" s="190"/>
      <c r="AB25" s="193">
        <f>AVERAGE(P25:AA25)</f>
        <v>90.228571428571428</v>
      </c>
      <c r="AC25" s="194">
        <v>80</v>
      </c>
      <c r="AD25" s="195" t="str">
        <f t="shared" si="0"/>
        <v>B</v>
      </c>
      <c r="AE25" s="196"/>
      <c r="AF25" s="197">
        <f>AVERAGE(Q25:V25)</f>
        <v>89.933333333333337</v>
      </c>
      <c r="AG25" s="202" t="str">
        <f>IF(AF25=100,"A",IF(AF25&gt;=80,"B",IF(AF25&gt;=70,"C",IF(AF25&lt;70,"D"))))</f>
        <v>B</v>
      </c>
    </row>
    <row r="26" spans="1:34" ht="18" customHeight="1">
      <c r="A26" s="243" t="s">
        <v>181</v>
      </c>
      <c r="B26" s="243" t="s">
        <v>182</v>
      </c>
      <c r="C26" s="203" t="s">
        <v>183</v>
      </c>
      <c r="D26" s="190">
        <v>92</v>
      </c>
      <c r="E26" s="190">
        <v>83.33</v>
      </c>
      <c r="F26" s="190">
        <v>92</v>
      </c>
      <c r="G26" s="191">
        <v>92</v>
      </c>
      <c r="H26" s="190">
        <v>83.33</v>
      </c>
      <c r="I26" s="190">
        <v>92</v>
      </c>
      <c r="J26" s="190">
        <v>92</v>
      </c>
      <c r="K26" s="190">
        <v>83.33</v>
      </c>
      <c r="L26" s="192">
        <v>92</v>
      </c>
      <c r="M26" s="190">
        <v>92</v>
      </c>
      <c r="N26" s="190">
        <v>83.33</v>
      </c>
      <c r="O26" s="190">
        <v>92</v>
      </c>
      <c r="P26" s="190">
        <v>92</v>
      </c>
      <c r="Q26" s="190">
        <v>76.7</v>
      </c>
      <c r="R26" s="190">
        <v>92</v>
      </c>
      <c r="S26" s="191">
        <v>90</v>
      </c>
      <c r="T26" s="190">
        <v>83.3</v>
      </c>
      <c r="U26" s="190">
        <v>83.3</v>
      </c>
      <c r="V26" s="190">
        <v>92</v>
      </c>
      <c r="W26" s="190"/>
      <c r="X26" s="192"/>
      <c r="Y26" s="190"/>
      <c r="Z26" s="190"/>
      <c r="AA26" s="190"/>
      <c r="AB26" s="193">
        <f>AVERAGE(P26:AA26)</f>
        <v>87.04285714285713</v>
      </c>
      <c r="AC26" s="194">
        <v>80</v>
      </c>
      <c r="AD26" s="195" t="str">
        <f t="shared" si="0"/>
        <v>B</v>
      </c>
      <c r="AE26" s="196"/>
      <c r="AF26" s="197">
        <f>AVERAGE(Q26:V26)</f>
        <v>86.216666666666654</v>
      </c>
      <c r="AG26" s="202" t="str">
        <f>IF(AF26=100,"A",IF(AF26&gt;=80,"B",IF(AF26&gt;=70,"C",IF(AF26&lt;70,"D"))))</f>
        <v>B</v>
      </c>
      <c r="AH26" s="206"/>
    </row>
    <row r="27" spans="1:34" ht="18" customHeight="1">
      <c r="A27" s="243" t="s">
        <v>184</v>
      </c>
      <c r="B27" s="243" t="s">
        <v>185</v>
      </c>
      <c r="C27" s="201" t="s">
        <v>186</v>
      </c>
      <c r="D27" s="190">
        <v>83.33</v>
      </c>
      <c r="E27" s="190">
        <v>92</v>
      </c>
      <c r="F27" s="190">
        <v>83.33</v>
      </c>
      <c r="G27" s="190">
        <v>83.33</v>
      </c>
      <c r="H27" s="190">
        <v>92</v>
      </c>
      <c r="I27" s="190">
        <v>83.33</v>
      </c>
      <c r="J27" s="190">
        <v>92</v>
      </c>
      <c r="K27" s="190">
        <v>92</v>
      </c>
      <c r="L27" s="192">
        <v>83.33</v>
      </c>
      <c r="M27" s="192">
        <v>76.67</v>
      </c>
      <c r="N27" s="190">
        <v>92</v>
      </c>
      <c r="O27" s="190">
        <v>83.33</v>
      </c>
      <c r="P27" s="190">
        <v>92</v>
      </c>
      <c r="Q27" s="190">
        <v>83.3</v>
      </c>
      <c r="R27" s="190">
        <v>83.33</v>
      </c>
      <c r="S27" s="190">
        <v>87</v>
      </c>
      <c r="T27" s="190">
        <v>92</v>
      </c>
      <c r="U27" s="190">
        <v>83.3</v>
      </c>
      <c r="V27" s="190">
        <v>92</v>
      </c>
      <c r="W27" s="190"/>
      <c r="X27" s="192"/>
      <c r="Y27" s="192"/>
      <c r="Z27" s="190"/>
      <c r="AA27" s="190"/>
      <c r="AB27" s="193">
        <f>AVERAGE(P27:AA27)</f>
        <v>87.561428571428564</v>
      </c>
      <c r="AC27" s="194">
        <v>80</v>
      </c>
      <c r="AD27" s="195" t="str">
        <f t="shared" si="0"/>
        <v>B</v>
      </c>
      <c r="AE27" s="196"/>
      <c r="AF27" s="197">
        <f>AVERAGE(Q27:V27)</f>
        <v>86.821666666666673</v>
      </c>
      <c r="AG27" s="202" t="str">
        <f>IF(AF27=100,"A",IF(AF27&gt;=80,"B",IF(AF27&gt;=70,"C",IF(AF27&lt;70,"D"))))</f>
        <v>B</v>
      </c>
    </row>
    <row r="28" spans="1:34" ht="18" customHeight="1">
      <c r="A28" s="250" t="s">
        <v>187</v>
      </c>
      <c r="B28" s="250" t="s">
        <v>188</v>
      </c>
      <c r="C28" s="251" t="s">
        <v>189</v>
      </c>
      <c r="D28" s="190"/>
      <c r="E28" s="190"/>
      <c r="F28" s="190"/>
      <c r="G28" s="190"/>
      <c r="H28" s="190"/>
      <c r="I28" s="190"/>
      <c r="J28" s="190"/>
      <c r="K28" s="190"/>
      <c r="L28" s="192">
        <v>92</v>
      </c>
      <c r="M28" s="190">
        <v>83.33</v>
      </c>
      <c r="N28" s="190">
        <v>92</v>
      </c>
      <c r="O28" s="190">
        <v>83.33</v>
      </c>
      <c r="P28" s="190">
        <v>92</v>
      </c>
      <c r="Q28" s="190">
        <v>83.3</v>
      </c>
      <c r="R28" s="190">
        <v>83.33</v>
      </c>
      <c r="S28" s="190">
        <v>83.3</v>
      </c>
      <c r="T28" s="190">
        <v>92</v>
      </c>
      <c r="U28" s="190">
        <v>92</v>
      </c>
      <c r="V28" s="190">
        <v>92</v>
      </c>
      <c r="W28" s="190"/>
      <c r="X28" s="192"/>
      <c r="Y28" s="190"/>
      <c r="Z28" s="190"/>
      <c r="AA28" s="190"/>
      <c r="AB28" s="193">
        <f>AVERAGE(P28:AA28)</f>
        <v>88.275714285714301</v>
      </c>
      <c r="AC28" s="194">
        <v>80</v>
      </c>
      <c r="AD28" s="195" t="str">
        <f t="shared" si="0"/>
        <v>B</v>
      </c>
      <c r="AE28" s="196"/>
      <c r="AF28" s="197">
        <f>AVERAGE(Q28:V28)</f>
        <v>87.655000000000015</v>
      </c>
      <c r="AG28" s="202" t="str">
        <f>IF(AF28=100,"A",IF(AF28&gt;=80,"B",IF(AF28&gt;=70,"C",IF(AF28&lt;70,"D"))))</f>
        <v>B</v>
      </c>
    </row>
    <row r="29" spans="1:34" ht="21.95" customHeight="1">
      <c r="A29" s="243" t="s">
        <v>190</v>
      </c>
      <c r="B29" s="243" t="s">
        <v>191</v>
      </c>
      <c r="C29" s="203" t="s">
        <v>192</v>
      </c>
      <c r="D29" s="190">
        <v>83.33</v>
      </c>
      <c r="E29" s="190">
        <v>92</v>
      </c>
      <c r="F29" s="190">
        <v>92</v>
      </c>
      <c r="G29" s="191">
        <v>92</v>
      </c>
      <c r="H29" s="190">
        <v>92</v>
      </c>
      <c r="I29" s="190">
        <v>92</v>
      </c>
      <c r="J29" s="190">
        <v>92</v>
      </c>
      <c r="K29" s="190">
        <v>92</v>
      </c>
      <c r="L29" s="192">
        <v>83.33</v>
      </c>
      <c r="M29" s="190">
        <v>92</v>
      </c>
      <c r="N29" s="190">
        <v>92</v>
      </c>
      <c r="O29" s="190">
        <v>92</v>
      </c>
      <c r="P29" s="190">
        <v>92</v>
      </c>
      <c r="Q29" s="190">
        <v>83.3</v>
      </c>
      <c r="R29" s="190">
        <v>92</v>
      </c>
      <c r="S29" s="191">
        <v>92</v>
      </c>
      <c r="T29" s="190">
        <v>92</v>
      </c>
      <c r="U29" s="190">
        <v>83.3</v>
      </c>
      <c r="V29" s="190">
        <v>92</v>
      </c>
      <c r="W29" s="190"/>
      <c r="X29" s="192"/>
      <c r="Y29" s="190"/>
      <c r="Z29" s="190"/>
      <c r="AA29" s="190"/>
      <c r="AB29" s="193">
        <f>AVERAGE(P29:AA29)</f>
        <v>89.51428571428572</v>
      </c>
      <c r="AC29" s="194">
        <v>80</v>
      </c>
      <c r="AD29" s="195" t="str">
        <f t="shared" si="0"/>
        <v>B</v>
      </c>
      <c r="AE29" s="196"/>
      <c r="AF29" s="197">
        <f>AVERAGE(Q29:V29)</f>
        <v>89.100000000000009</v>
      </c>
      <c r="AG29" s="202" t="str">
        <f>IF(AF29=100,"A",IF(AF29&gt;=80,"B",IF(AF29&gt;=70,"C",IF(AF29&lt;70,"D"))))</f>
        <v>B</v>
      </c>
    </row>
    <row r="30" spans="1:34" ht="21.95" customHeight="1">
      <c r="A30" s="243" t="s">
        <v>193</v>
      </c>
      <c r="B30" s="243" t="s">
        <v>194</v>
      </c>
      <c r="C30" s="201" t="s">
        <v>195</v>
      </c>
      <c r="D30" s="190">
        <v>92</v>
      </c>
      <c r="E30" s="190">
        <v>92</v>
      </c>
      <c r="F30" s="190">
        <v>84</v>
      </c>
      <c r="G30" s="191">
        <v>92</v>
      </c>
      <c r="H30" s="190">
        <v>92</v>
      </c>
      <c r="I30" s="190">
        <v>92</v>
      </c>
      <c r="J30" s="190">
        <v>83.33</v>
      </c>
      <c r="K30" s="190">
        <v>92</v>
      </c>
      <c r="L30" s="192">
        <v>92</v>
      </c>
      <c r="M30" s="190">
        <v>92</v>
      </c>
      <c r="N30" s="190">
        <v>88</v>
      </c>
      <c r="O30" s="190">
        <v>92</v>
      </c>
      <c r="P30" s="190">
        <v>92</v>
      </c>
      <c r="Q30" s="190">
        <v>88</v>
      </c>
      <c r="R30" s="190">
        <v>92</v>
      </c>
      <c r="S30" s="191">
        <v>92</v>
      </c>
      <c r="T30" s="190">
        <v>92</v>
      </c>
      <c r="U30" s="190">
        <v>83.3</v>
      </c>
      <c r="V30" s="190">
        <v>92</v>
      </c>
      <c r="W30" s="190"/>
      <c r="X30" s="192"/>
      <c r="Y30" s="190"/>
      <c r="Z30" s="190"/>
      <c r="AA30" s="190"/>
      <c r="AB30" s="193">
        <f>AVERAGE(P30:AA30)</f>
        <v>90.185714285714283</v>
      </c>
      <c r="AC30" s="194">
        <v>80</v>
      </c>
      <c r="AD30" s="195" t="str">
        <f t="shared" si="0"/>
        <v>B</v>
      </c>
      <c r="AE30" s="196"/>
      <c r="AF30" s="197">
        <f>AVERAGE(Q30:V30)</f>
        <v>89.883333333333326</v>
      </c>
      <c r="AG30" s="202" t="str">
        <f>IF(AF30=100,"A",IF(AF30&gt;=80,"B",IF(AF30&gt;=70,"C",IF(AF30&lt;70,"D"))))</f>
        <v>B</v>
      </c>
    </row>
    <row r="31" spans="1:34" ht="21.95" customHeight="1">
      <c r="A31" s="243" t="s">
        <v>196</v>
      </c>
      <c r="B31" s="243" t="s">
        <v>197</v>
      </c>
      <c r="C31" s="203" t="s">
        <v>198</v>
      </c>
      <c r="D31" s="190">
        <v>83.33</v>
      </c>
      <c r="E31" s="190">
        <v>92</v>
      </c>
      <c r="F31" s="190">
        <v>92</v>
      </c>
      <c r="G31" s="191">
        <v>92</v>
      </c>
      <c r="H31" s="190">
        <v>92</v>
      </c>
      <c r="I31" s="190">
        <v>92</v>
      </c>
      <c r="J31" s="190">
        <v>83.33</v>
      </c>
      <c r="K31" s="190">
        <v>92</v>
      </c>
      <c r="L31" s="192">
        <v>88</v>
      </c>
      <c r="M31" s="190">
        <v>92</v>
      </c>
      <c r="N31" s="190">
        <v>92</v>
      </c>
      <c r="O31" s="190">
        <v>92</v>
      </c>
      <c r="P31" s="190">
        <v>86</v>
      </c>
      <c r="Q31" s="190">
        <v>88</v>
      </c>
      <c r="R31" s="190">
        <v>92</v>
      </c>
      <c r="S31" s="191">
        <v>92</v>
      </c>
      <c r="T31" s="190">
        <v>92</v>
      </c>
      <c r="U31" s="190">
        <v>92</v>
      </c>
      <c r="V31" s="190">
        <v>92</v>
      </c>
      <c r="W31" s="190"/>
      <c r="X31" s="192"/>
      <c r="Y31" s="190"/>
      <c r="Z31" s="190"/>
      <c r="AA31" s="190"/>
      <c r="AB31" s="193">
        <f>AVERAGE(P31:AA31)</f>
        <v>90.571428571428569</v>
      </c>
      <c r="AC31" s="194">
        <v>80</v>
      </c>
      <c r="AD31" s="195" t="str">
        <f t="shared" si="0"/>
        <v>B</v>
      </c>
      <c r="AE31" s="196"/>
      <c r="AF31" s="197">
        <f>AVERAGE(Q31:V31)</f>
        <v>91.333333333333329</v>
      </c>
      <c r="AG31" s="202" t="str">
        <f>IF(AF31=100,"A",IF(AF31&gt;=80,"B",IF(AF31&gt;=70,"C",IF(AF31&lt;70,"D"))))</f>
        <v>B</v>
      </c>
    </row>
    <row r="32" spans="1:34" ht="21.95" customHeight="1">
      <c r="A32" s="243" t="s">
        <v>199</v>
      </c>
      <c r="B32" s="244" t="s">
        <v>200</v>
      </c>
      <c r="C32" s="201" t="s">
        <v>201</v>
      </c>
      <c r="D32" s="190">
        <v>90</v>
      </c>
      <c r="E32" s="190">
        <v>92</v>
      </c>
      <c r="F32" s="190">
        <v>83.33</v>
      </c>
      <c r="G32" s="190">
        <v>83.33</v>
      </c>
      <c r="H32" s="190">
        <v>83.33</v>
      </c>
      <c r="I32" s="190">
        <v>92</v>
      </c>
      <c r="J32" s="190">
        <v>83.33</v>
      </c>
      <c r="K32" s="190">
        <v>92</v>
      </c>
      <c r="L32" s="192">
        <v>83.33</v>
      </c>
      <c r="M32" s="190">
        <v>92</v>
      </c>
      <c r="N32" s="190">
        <v>92</v>
      </c>
      <c r="O32" s="192">
        <v>92</v>
      </c>
      <c r="P32" s="190">
        <v>92</v>
      </c>
      <c r="Q32" s="190">
        <v>92</v>
      </c>
      <c r="R32" s="190">
        <v>92</v>
      </c>
      <c r="S32" s="190">
        <v>92</v>
      </c>
      <c r="T32" s="190">
        <v>92</v>
      </c>
      <c r="U32" s="190">
        <v>92</v>
      </c>
      <c r="V32" s="190">
        <v>92</v>
      </c>
      <c r="W32" s="190"/>
      <c r="X32" s="192"/>
      <c r="Y32" s="190"/>
      <c r="Z32" s="190"/>
      <c r="AA32" s="192"/>
      <c r="AB32" s="193">
        <f>AVERAGE(P32:AA32)</f>
        <v>92</v>
      </c>
      <c r="AC32" s="194">
        <v>80</v>
      </c>
      <c r="AD32" s="195" t="str">
        <f t="shared" si="0"/>
        <v>B</v>
      </c>
      <c r="AE32" s="196"/>
      <c r="AF32" s="197">
        <f>AVERAGE(Q32:V32)</f>
        <v>92</v>
      </c>
      <c r="AG32" s="202" t="str">
        <f>IF(AF32=100,"A",IF(AF32&gt;=80,"B",IF(AF32&gt;=70,"C",IF(AF32&lt;70,"D"))))</f>
        <v>B</v>
      </c>
    </row>
    <row r="33" spans="1:36" ht="21.95" customHeight="1">
      <c r="A33" s="243" t="s">
        <v>202</v>
      </c>
      <c r="B33" s="244" t="s">
        <v>203</v>
      </c>
      <c r="C33" s="203" t="s">
        <v>133</v>
      </c>
      <c r="D33" s="190">
        <v>92</v>
      </c>
      <c r="E33" s="190">
        <v>83.33</v>
      </c>
      <c r="F33" s="190">
        <v>92</v>
      </c>
      <c r="G33" s="191">
        <v>92</v>
      </c>
      <c r="H33" s="190">
        <v>92</v>
      </c>
      <c r="I33" s="190">
        <v>92</v>
      </c>
      <c r="J33" s="190">
        <v>92</v>
      </c>
      <c r="K33" s="190">
        <v>92</v>
      </c>
      <c r="L33" s="192">
        <v>92</v>
      </c>
      <c r="M33" s="190">
        <v>83.33</v>
      </c>
      <c r="N33" s="190">
        <v>92</v>
      </c>
      <c r="O33" s="190">
        <v>92</v>
      </c>
      <c r="P33" s="190">
        <v>92</v>
      </c>
      <c r="Q33" s="190">
        <v>92</v>
      </c>
      <c r="R33" s="190">
        <v>92</v>
      </c>
      <c r="S33" s="191">
        <v>92</v>
      </c>
      <c r="T33" s="190">
        <v>92</v>
      </c>
      <c r="U33" s="190">
        <v>92</v>
      </c>
      <c r="V33" s="190">
        <v>92</v>
      </c>
      <c r="W33" s="190"/>
      <c r="X33" s="192"/>
      <c r="Y33" s="190"/>
      <c r="Z33" s="190"/>
      <c r="AA33" s="190"/>
      <c r="AB33" s="193">
        <f>AVERAGE(P33:AA33)</f>
        <v>92</v>
      </c>
      <c r="AC33" s="194">
        <v>80</v>
      </c>
      <c r="AD33" s="195" t="str">
        <f t="shared" si="0"/>
        <v>B</v>
      </c>
      <c r="AE33" s="196"/>
      <c r="AF33" s="197">
        <f>AVERAGE(Q33:V33)</f>
        <v>92</v>
      </c>
      <c r="AG33" s="202" t="str">
        <f>IF(AF33=100,"A",IF(AF33&gt;=80,"B",IF(AF33&gt;=70,"C",IF(AF33&lt;70,"D"))))</f>
        <v>B</v>
      </c>
    </row>
    <row r="34" spans="1:36" ht="24" customHeight="1">
      <c r="A34" s="243" t="s">
        <v>204</v>
      </c>
      <c r="B34" s="244" t="s">
        <v>205</v>
      </c>
      <c r="C34" s="283" t="s">
        <v>206</v>
      </c>
      <c r="D34" s="190">
        <v>92</v>
      </c>
      <c r="E34" s="190">
        <v>92</v>
      </c>
      <c r="F34" s="190">
        <v>92</v>
      </c>
      <c r="G34" s="190">
        <v>83.33</v>
      </c>
      <c r="H34" s="190">
        <v>92</v>
      </c>
      <c r="I34" s="190">
        <v>92</v>
      </c>
      <c r="J34" s="190">
        <v>92</v>
      </c>
      <c r="K34" s="190">
        <v>92</v>
      </c>
      <c r="L34" s="192">
        <v>92</v>
      </c>
      <c r="M34" s="190">
        <v>92</v>
      </c>
      <c r="N34" s="190">
        <v>92</v>
      </c>
      <c r="O34" s="190">
        <v>92</v>
      </c>
      <c r="P34" s="190">
        <v>92</v>
      </c>
      <c r="Q34" s="190">
        <v>92</v>
      </c>
      <c r="R34" s="190">
        <v>92</v>
      </c>
      <c r="S34" s="190">
        <v>92</v>
      </c>
      <c r="T34" s="190">
        <v>92</v>
      </c>
      <c r="U34" s="190">
        <v>92</v>
      </c>
      <c r="V34" s="190">
        <v>92</v>
      </c>
      <c r="W34" s="190"/>
      <c r="X34" s="192"/>
      <c r="Y34" s="190"/>
      <c r="Z34" s="190"/>
      <c r="AA34" s="190"/>
      <c r="AB34" s="193">
        <f>AVERAGE(P34:AA34)</f>
        <v>92</v>
      </c>
      <c r="AC34" s="194">
        <v>80</v>
      </c>
      <c r="AD34" s="195" t="str">
        <f t="shared" si="0"/>
        <v>B</v>
      </c>
      <c r="AE34" s="196"/>
      <c r="AF34" s="197">
        <f>AVERAGE(Q34:V34)</f>
        <v>92</v>
      </c>
      <c r="AG34" s="202" t="str">
        <f>IF(AF34=100,"A",IF(AF34&gt;=80,"B",IF(AF34&gt;=70,"C",IF(AF34&lt;70,"D"))))</f>
        <v>B</v>
      </c>
    </row>
    <row r="35" spans="1:36" ht="22.5" customHeight="1">
      <c r="A35" s="243" t="s">
        <v>207</v>
      </c>
      <c r="B35" s="243" t="s">
        <v>208</v>
      </c>
      <c r="C35" s="201" t="s">
        <v>209</v>
      </c>
      <c r="D35" s="190">
        <v>92</v>
      </c>
      <c r="E35" s="190">
        <v>92</v>
      </c>
      <c r="F35" s="190">
        <v>92</v>
      </c>
      <c r="G35" s="191">
        <v>92</v>
      </c>
      <c r="H35" s="190">
        <v>92</v>
      </c>
      <c r="I35" s="190">
        <v>92</v>
      </c>
      <c r="J35" s="190">
        <v>92</v>
      </c>
      <c r="K35" s="190">
        <v>92</v>
      </c>
      <c r="L35" s="192">
        <v>92</v>
      </c>
      <c r="M35" s="190">
        <v>92</v>
      </c>
      <c r="N35" s="190">
        <v>92</v>
      </c>
      <c r="O35" s="190">
        <v>92</v>
      </c>
      <c r="P35" s="190">
        <v>92</v>
      </c>
      <c r="Q35" s="190">
        <v>92</v>
      </c>
      <c r="R35" s="190">
        <v>92</v>
      </c>
      <c r="S35" s="191">
        <v>92</v>
      </c>
      <c r="T35" s="190">
        <v>92</v>
      </c>
      <c r="U35" s="190">
        <v>92</v>
      </c>
      <c r="V35" s="190">
        <v>92</v>
      </c>
      <c r="W35" s="190"/>
      <c r="X35" s="192"/>
      <c r="Y35" s="190"/>
      <c r="Z35" s="190"/>
      <c r="AA35" s="190"/>
      <c r="AB35" s="193">
        <f>AVERAGE(P35:AA35)</f>
        <v>92</v>
      </c>
      <c r="AC35" s="194">
        <v>80</v>
      </c>
      <c r="AD35" s="195" t="str">
        <f t="shared" si="0"/>
        <v>B</v>
      </c>
      <c r="AE35" s="196"/>
      <c r="AF35" s="197">
        <f>AVERAGE(Q35:V35)</f>
        <v>92</v>
      </c>
      <c r="AG35" s="202" t="str">
        <f>IF(AF35=100,"A",IF(AF35&gt;=80,"B",IF(AF35&gt;=70,"C",IF(AF35&lt;70,"D"))))</f>
        <v>B</v>
      </c>
    </row>
    <row r="36" spans="1:36" ht="22.5" customHeight="1">
      <c r="A36" s="243" t="s">
        <v>210</v>
      </c>
      <c r="B36" s="243" t="s">
        <v>211</v>
      </c>
      <c r="C36" s="208" t="s">
        <v>212</v>
      </c>
      <c r="D36" s="190">
        <v>95</v>
      </c>
      <c r="E36" s="190">
        <v>100</v>
      </c>
      <c r="F36" s="190">
        <v>100</v>
      </c>
      <c r="G36" s="191">
        <v>100</v>
      </c>
      <c r="H36" s="190">
        <v>100</v>
      </c>
      <c r="I36" s="190">
        <v>100</v>
      </c>
      <c r="J36" s="190">
        <v>95</v>
      </c>
      <c r="K36" s="190">
        <v>100</v>
      </c>
      <c r="L36" s="192">
        <v>100</v>
      </c>
      <c r="M36" s="190">
        <v>100</v>
      </c>
      <c r="N36" s="190">
        <v>96</v>
      </c>
      <c r="O36" s="190">
        <v>100</v>
      </c>
      <c r="P36" s="190">
        <v>100</v>
      </c>
      <c r="Q36" s="190">
        <v>96</v>
      </c>
      <c r="R36" s="190">
        <v>83.33</v>
      </c>
      <c r="S36" s="191">
        <v>100</v>
      </c>
      <c r="T36" s="190">
        <v>100</v>
      </c>
      <c r="U36" s="190">
        <v>100</v>
      </c>
      <c r="V36" s="190">
        <v>92</v>
      </c>
      <c r="W36" s="190"/>
      <c r="X36" s="192"/>
      <c r="Y36" s="190"/>
      <c r="Z36" s="190"/>
      <c r="AA36" s="190"/>
      <c r="AB36" s="193">
        <f>AVERAGE(P36:AA36)</f>
        <v>95.904285714285706</v>
      </c>
      <c r="AC36" s="194">
        <v>80</v>
      </c>
      <c r="AD36" s="195" t="str">
        <f t="shared" si="0"/>
        <v>B</v>
      </c>
      <c r="AE36" s="196"/>
      <c r="AF36" s="197">
        <f>AVERAGE(Q36:V36)</f>
        <v>95.22166666666665</v>
      </c>
      <c r="AG36" s="202" t="str">
        <f>IF(AF36=100,"A",IF(AF36&gt;=80,"B",IF(AF36&gt;=70,"C",IF(AF36&lt;70,"D"))))</f>
        <v>B</v>
      </c>
    </row>
    <row r="37" spans="1:36" ht="24" customHeight="1">
      <c r="A37" s="243" t="s">
        <v>213</v>
      </c>
      <c r="B37" s="244" t="s">
        <v>214</v>
      </c>
      <c r="C37" s="203" t="s">
        <v>215</v>
      </c>
      <c r="D37" s="190">
        <v>95</v>
      </c>
      <c r="E37" s="190">
        <v>95</v>
      </c>
      <c r="F37" s="190">
        <v>93</v>
      </c>
      <c r="G37" s="191">
        <v>95</v>
      </c>
      <c r="H37" s="190">
        <v>100</v>
      </c>
      <c r="I37" s="190">
        <v>100</v>
      </c>
      <c r="J37" s="190">
        <v>95</v>
      </c>
      <c r="K37" s="190">
        <v>95</v>
      </c>
      <c r="L37" s="192">
        <v>95</v>
      </c>
      <c r="M37" s="190">
        <v>95</v>
      </c>
      <c r="N37" s="190">
        <v>95</v>
      </c>
      <c r="O37" s="190">
        <v>95</v>
      </c>
      <c r="P37" s="190">
        <v>95</v>
      </c>
      <c r="Q37" s="190">
        <v>100</v>
      </c>
      <c r="R37" s="190">
        <v>95</v>
      </c>
      <c r="S37" s="191">
        <v>95</v>
      </c>
      <c r="T37" s="278">
        <v>95</v>
      </c>
      <c r="U37" s="190">
        <v>100</v>
      </c>
      <c r="V37" s="190">
        <v>95</v>
      </c>
      <c r="W37" s="190"/>
      <c r="X37" s="192"/>
      <c r="Y37" s="190"/>
      <c r="Z37" s="190"/>
      <c r="AA37" s="190"/>
      <c r="AB37" s="193">
        <f>AVERAGE(P37:AA37)</f>
        <v>96.428571428571431</v>
      </c>
      <c r="AC37" s="194">
        <v>80</v>
      </c>
      <c r="AD37" s="195" t="str">
        <f t="shared" si="0"/>
        <v>B</v>
      </c>
      <c r="AE37" s="196"/>
      <c r="AF37" s="197">
        <f>AVERAGE(Q37:V37)</f>
        <v>96.666666666666671</v>
      </c>
      <c r="AG37" s="202" t="str">
        <f>IF(AF37=100,"A",IF(AF37&gt;=80,"B",IF(AF37&gt;=70,"C",IF(AF37&lt;70,"D"))))</f>
        <v>B</v>
      </c>
    </row>
    <row r="38" spans="1:36" ht="22.5" customHeight="1">
      <c r="A38" s="243" t="s">
        <v>216</v>
      </c>
      <c r="B38" s="243" t="s">
        <v>217</v>
      </c>
      <c r="C38" s="203" t="s">
        <v>218</v>
      </c>
      <c r="D38" s="190">
        <v>95</v>
      </c>
      <c r="E38" s="190">
        <v>95</v>
      </c>
      <c r="F38" s="190">
        <v>95</v>
      </c>
      <c r="G38" s="191">
        <v>95</v>
      </c>
      <c r="H38" s="190">
        <v>95</v>
      </c>
      <c r="I38" s="190">
        <v>95</v>
      </c>
      <c r="J38" s="190">
        <v>95</v>
      </c>
      <c r="K38" s="190">
        <v>95</v>
      </c>
      <c r="L38" s="192">
        <v>100</v>
      </c>
      <c r="M38" s="190">
        <v>100</v>
      </c>
      <c r="N38" s="190">
        <v>95</v>
      </c>
      <c r="O38" s="190">
        <v>100</v>
      </c>
      <c r="P38" s="190">
        <v>95</v>
      </c>
      <c r="Q38" s="190">
        <v>100</v>
      </c>
      <c r="R38" s="190">
        <v>95</v>
      </c>
      <c r="S38" s="191">
        <v>95</v>
      </c>
      <c r="T38" s="279">
        <v>100</v>
      </c>
      <c r="U38" s="190">
        <v>100</v>
      </c>
      <c r="V38" s="190">
        <v>95</v>
      </c>
      <c r="W38" s="190"/>
      <c r="X38" s="192"/>
      <c r="Y38" s="190"/>
      <c r="Z38" s="190"/>
      <c r="AA38" s="190"/>
      <c r="AB38" s="193">
        <f>AVERAGE(P38:AA38)</f>
        <v>97.142857142857139</v>
      </c>
      <c r="AC38" s="194">
        <v>80</v>
      </c>
      <c r="AD38" s="195" t="str">
        <f t="shared" si="0"/>
        <v>B</v>
      </c>
      <c r="AE38" s="196"/>
      <c r="AF38" s="197">
        <f>AVERAGE(Q38:V38)</f>
        <v>97.5</v>
      </c>
      <c r="AG38" s="202" t="str">
        <f>IF(AF38=100,"A",IF(AF38&gt;=80,"B",IF(AF38&gt;=70,"C",IF(AF38&lt;70,"D"))))</f>
        <v>B</v>
      </c>
    </row>
    <row r="39" spans="1:36" ht="22.5" customHeight="1">
      <c r="A39" s="243" t="s">
        <v>219</v>
      </c>
      <c r="B39" s="243" t="s">
        <v>220</v>
      </c>
      <c r="C39" s="207" t="s">
        <v>221</v>
      </c>
      <c r="D39" s="190">
        <v>95</v>
      </c>
      <c r="E39" s="190">
        <v>92</v>
      </c>
      <c r="F39" s="190">
        <v>100</v>
      </c>
      <c r="G39" s="191">
        <v>92</v>
      </c>
      <c r="H39" s="190">
        <v>92</v>
      </c>
      <c r="I39" s="190">
        <v>95</v>
      </c>
      <c r="J39" s="190">
        <v>95</v>
      </c>
      <c r="K39" s="190">
        <v>83.3</v>
      </c>
      <c r="L39" s="192">
        <v>95</v>
      </c>
      <c r="M39" s="190">
        <v>83.33</v>
      </c>
      <c r="N39" s="190">
        <v>92</v>
      </c>
      <c r="O39" s="190">
        <v>92</v>
      </c>
      <c r="P39" s="190">
        <v>95</v>
      </c>
      <c r="Q39" s="190">
        <v>92</v>
      </c>
      <c r="R39" s="190">
        <v>95</v>
      </c>
      <c r="S39" s="191">
        <v>92</v>
      </c>
      <c r="T39" s="279">
        <v>100</v>
      </c>
      <c r="U39" s="190">
        <v>92</v>
      </c>
      <c r="V39" s="190">
        <v>100</v>
      </c>
      <c r="W39" s="190"/>
      <c r="X39" s="192"/>
      <c r="Y39" s="190"/>
      <c r="Z39" s="190"/>
      <c r="AA39" s="190"/>
      <c r="AB39" s="193">
        <f>AVERAGE(P39:AA39)</f>
        <v>95.142857142857139</v>
      </c>
      <c r="AC39" s="194">
        <v>80</v>
      </c>
      <c r="AD39" s="195" t="str">
        <f t="shared" si="0"/>
        <v>A</v>
      </c>
      <c r="AE39" s="196"/>
      <c r="AF39" s="197">
        <f>AVERAGE(Q39:V39)</f>
        <v>95.166666666666671</v>
      </c>
      <c r="AG39" s="202" t="str">
        <f>IF(AF39=100,"A",IF(AF39&gt;=80,"B",IF(AF39&gt;=70,"C",IF(AF39&lt;70,"D"))))</f>
        <v>B</v>
      </c>
    </row>
    <row r="40" spans="1:36" ht="22.5" customHeight="1">
      <c r="A40" s="243" t="s">
        <v>222</v>
      </c>
      <c r="B40" s="245" t="s">
        <v>223</v>
      </c>
      <c r="C40" s="201" t="s">
        <v>224</v>
      </c>
      <c r="D40" s="190">
        <v>100</v>
      </c>
      <c r="E40" s="190">
        <v>83.33</v>
      </c>
      <c r="F40" s="190">
        <v>100</v>
      </c>
      <c r="G40" s="191">
        <v>100</v>
      </c>
      <c r="H40" s="190">
        <v>83.33</v>
      </c>
      <c r="I40" s="190">
        <v>95</v>
      </c>
      <c r="J40" s="190">
        <v>100</v>
      </c>
      <c r="K40" s="190">
        <v>100</v>
      </c>
      <c r="L40" s="192">
        <v>95</v>
      </c>
      <c r="M40" s="190">
        <v>100</v>
      </c>
      <c r="N40" s="190">
        <v>83.33</v>
      </c>
      <c r="O40" s="190">
        <v>100</v>
      </c>
      <c r="P40" s="190">
        <v>100</v>
      </c>
      <c r="Q40" s="190">
        <v>83.3</v>
      </c>
      <c r="R40" s="190">
        <v>100</v>
      </c>
      <c r="S40" s="191">
        <v>100</v>
      </c>
      <c r="T40" s="190">
        <v>95</v>
      </c>
      <c r="U40" s="190">
        <v>100</v>
      </c>
      <c r="V40" s="190">
        <v>100</v>
      </c>
      <c r="W40" s="190"/>
      <c r="X40" s="192"/>
      <c r="Y40" s="190"/>
      <c r="Z40" s="190"/>
      <c r="AA40" s="190"/>
      <c r="AB40" s="193">
        <f>AVERAGE(P40:AA40)</f>
        <v>96.899999999999991</v>
      </c>
      <c r="AC40" s="194">
        <v>80</v>
      </c>
      <c r="AD40" s="195" t="str">
        <f t="shared" si="0"/>
        <v>A</v>
      </c>
      <c r="AE40" s="196"/>
      <c r="AF40" s="197">
        <f>AVERAGE(Q40:V40)</f>
        <v>96.383333333333326</v>
      </c>
      <c r="AG40" s="202" t="str">
        <f>IF(AF40=100,"A",IF(AF40&gt;=80,"B",IF(AF40&gt;=70,"C",IF(AF40&lt;70,"D"))))</f>
        <v>B</v>
      </c>
    </row>
    <row r="41" spans="1:36" ht="22.5" customHeight="1">
      <c r="A41" s="243" t="s">
        <v>225</v>
      </c>
      <c r="B41" s="243" t="s">
        <v>226</v>
      </c>
      <c r="C41" s="208" t="s">
        <v>227</v>
      </c>
      <c r="D41" s="190">
        <v>100</v>
      </c>
      <c r="E41" s="190">
        <v>98</v>
      </c>
      <c r="F41" s="190">
        <v>99</v>
      </c>
      <c r="G41" s="192">
        <v>99</v>
      </c>
      <c r="H41" s="190">
        <v>99</v>
      </c>
      <c r="I41" s="190">
        <v>85</v>
      </c>
      <c r="J41" s="190">
        <v>100</v>
      </c>
      <c r="K41" s="190">
        <v>100</v>
      </c>
      <c r="L41" s="192">
        <v>98</v>
      </c>
      <c r="M41" s="190">
        <v>100</v>
      </c>
      <c r="N41" s="190">
        <v>96</v>
      </c>
      <c r="O41" s="190">
        <v>100</v>
      </c>
      <c r="P41" s="190">
        <v>100</v>
      </c>
      <c r="Q41" s="190">
        <v>93</v>
      </c>
      <c r="R41" s="190">
        <v>99</v>
      </c>
      <c r="S41" s="192">
        <v>100</v>
      </c>
      <c r="T41" s="190">
        <v>100</v>
      </c>
      <c r="U41" s="190">
        <v>97</v>
      </c>
      <c r="V41" s="190">
        <v>100</v>
      </c>
      <c r="W41" s="190"/>
      <c r="X41" s="192"/>
      <c r="Y41" s="190"/>
      <c r="Z41" s="190"/>
      <c r="AA41" s="190"/>
      <c r="AB41" s="193">
        <f>AVERAGE(P41:AA41)</f>
        <v>98.428571428571431</v>
      </c>
      <c r="AC41" s="194">
        <v>80</v>
      </c>
      <c r="AD41" s="195" t="str">
        <f t="shared" si="0"/>
        <v>A</v>
      </c>
      <c r="AE41" s="196"/>
      <c r="AF41" s="197">
        <f>AVERAGE(Q41:V41)</f>
        <v>98.166666666666671</v>
      </c>
      <c r="AG41" s="202" t="str">
        <f>IF(AF41=100,"A",IF(AF41&gt;=80,"B",IF(AF41&gt;=70,"C",IF(AF41&lt;70,"D"))))</f>
        <v>B</v>
      </c>
    </row>
    <row r="42" spans="1:36" ht="21.95" customHeight="1">
      <c r="A42" s="243" t="s">
        <v>228</v>
      </c>
      <c r="B42" s="244" t="s">
        <v>229</v>
      </c>
      <c r="C42" s="203" t="s">
        <v>230</v>
      </c>
      <c r="D42" s="190">
        <v>100</v>
      </c>
      <c r="E42" s="190">
        <v>100</v>
      </c>
      <c r="F42" s="190">
        <v>100</v>
      </c>
      <c r="G42" s="191">
        <v>100</v>
      </c>
      <c r="H42" s="190">
        <v>100</v>
      </c>
      <c r="I42" s="190">
        <v>100</v>
      </c>
      <c r="J42" s="190">
        <v>100</v>
      </c>
      <c r="K42" s="190">
        <v>100</v>
      </c>
      <c r="L42" s="192">
        <v>100</v>
      </c>
      <c r="M42" s="190">
        <v>100</v>
      </c>
      <c r="N42" s="190">
        <v>100</v>
      </c>
      <c r="O42" s="190">
        <v>100</v>
      </c>
      <c r="P42" s="190">
        <v>100</v>
      </c>
      <c r="Q42" s="190">
        <v>100</v>
      </c>
      <c r="R42" s="190">
        <v>100</v>
      </c>
      <c r="S42" s="191">
        <v>100</v>
      </c>
      <c r="T42" s="190">
        <v>100</v>
      </c>
      <c r="U42" s="190">
        <v>100</v>
      </c>
      <c r="V42" s="190">
        <v>100</v>
      </c>
      <c r="W42" s="190"/>
      <c r="X42" s="192"/>
      <c r="Y42" s="190"/>
      <c r="Z42" s="190"/>
      <c r="AA42" s="190"/>
      <c r="AB42" s="193">
        <f>AVERAGE(P42:AA42)</f>
        <v>100</v>
      </c>
      <c r="AC42" s="194">
        <v>80</v>
      </c>
      <c r="AD42" s="195" t="str">
        <f t="shared" si="0"/>
        <v>A</v>
      </c>
      <c r="AE42" s="196"/>
      <c r="AF42" s="197">
        <f>AVERAGE(Q42:V42)</f>
        <v>100</v>
      </c>
      <c r="AG42" s="202" t="str">
        <f>IF(AF42=100,"A",IF(AF42&gt;=80,"B",IF(AF42&gt;=70,"C",IF(AF42&lt;70,"D"))))</f>
        <v>A</v>
      </c>
    </row>
    <row r="43" spans="1:36" ht="21.95" customHeight="1">
      <c r="A43" s="246" t="s">
        <v>231</v>
      </c>
      <c r="B43" s="247" t="s">
        <v>232</v>
      </c>
      <c r="C43" s="248" t="s">
        <v>233</v>
      </c>
      <c r="D43" s="190">
        <v>83.33</v>
      </c>
      <c r="E43" s="190">
        <v>83.33</v>
      </c>
      <c r="F43" s="190">
        <v>83.33</v>
      </c>
      <c r="G43" s="190">
        <v>83.33</v>
      </c>
      <c r="H43" s="190">
        <v>83.33</v>
      </c>
      <c r="I43" s="237"/>
      <c r="J43" s="190"/>
      <c r="K43" s="190"/>
      <c r="L43" s="192"/>
      <c r="M43" s="190"/>
      <c r="N43" s="190"/>
      <c r="O43" s="190"/>
      <c r="P43" s="190"/>
      <c r="Q43" s="190"/>
      <c r="R43" s="190"/>
      <c r="S43" s="190"/>
      <c r="T43" s="190"/>
      <c r="U43" s="237"/>
      <c r="V43" s="190"/>
      <c r="W43" s="190"/>
      <c r="X43" s="192"/>
      <c r="Y43" s="190"/>
      <c r="Z43" s="190"/>
      <c r="AA43" s="190"/>
      <c r="AB43" s="193" t="e">
        <f t="shared" ref="AB16:AB44" si="1">AVERAGE(P43:AA43)</f>
        <v>#DIV/0!</v>
      </c>
      <c r="AC43" s="194">
        <v>80</v>
      </c>
      <c r="AD43" s="195"/>
      <c r="AE43" s="196"/>
      <c r="AF43" s="197"/>
      <c r="AG43" s="202"/>
    </row>
    <row r="44" spans="1:36" ht="21.95" customHeight="1">
      <c r="A44" s="246" t="s">
        <v>234</v>
      </c>
      <c r="B44" s="247" t="s">
        <v>235</v>
      </c>
      <c r="C44" s="248" t="s">
        <v>236</v>
      </c>
      <c r="D44" s="190">
        <v>83.33</v>
      </c>
      <c r="E44" s="190">
        <v>83.33</v>
      </c>
      <c r="F44" s="190">
        <v>83.33</v>
      </c>
      <c r="G44" s="190">
        <v>83.33</v>
      </c>
      <c r="H44" s="190">
        <v>83.33</v>
      </c>
      <c r="I44" s="190"/>
      <c r="J44" s="190"/>
      <c r="K44" s="190"/>
      <c r="L44" s="192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2"/>
      <c r="Y44" s="190"/>
      <c r="Z44" s="190"/>
      <c r="AA44" s="190"/>
      <c r="AB44" s="193" t="e">
        <f t="shared" si="1"/>
        <v>#DIV/0!</v>
      </c>
      <c r="AC44" s="194">
        <v>80</v>
      </c>
      <c r="AD44" s="195"/>
      <c r="AE44" s="196"/>
      <c r="AF44" s="197"/>
      <c r="AG44" s="202"/>
      <c r="AH44" s="204"/>
    </row>
    <row r="45" spans="1:36" ht="22.5" customHeight="1">
      <c r="A45" s="512" t="s">
        <v>237</v>
      </c>
      <c r="B45" s="512"/>
      <c r="C45" s="512"/>
      <c r="D45" s="513"/>
      <c r="E45" s="513"/>
      <c r="F45" s="513"/>
      <c r="G45" s="513"/>
      <c r="H45" s="513"/>
      <c r="I45" s="513"/>
      <c r="J45" s="513"/>
      <c r="K45" s="513"/>
      <c r="L45" s="513"/>
      <c r="M45" s="513"/>
      <c r="N45" s="513"/>
      <c r="O45" s="513"/>
      <c r="P45" s="513"/>
      <c r="Q45" s="513"/>
      <c r="R45" s="211"/>
      <c r="S45" s="211"/>
      <c r="T45" s="211"/>
      <c r="U45" s="212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</row>
    <row r="46" spans="1:36" ht="22.5" customHeight="1">
      <c r="A46" s="213" t="s">
        <v>238</v>
      </c>
      <c r="B46" s="214"/>
      <c r="C46" s="214"/>
      <c r="R46" s="211"/>
      <c r="S46" s="211"/>
      <c r="T46" s="211"/>
      <c r="U46" s="212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</row>
    <row r="47" spans="1:36" ht="22.5" customHeight="1">
      <c r="A47" s="215" t="s">
        <v>76</v>
      </c>
      <c r="B47" s="215" t="s">
        <v>151</v>
      </c>
      <c r="C47" s="215" t="s">
        <v>82</v>
      </c>
      <c r="W47" s="514" t="s">
        <v>239</v>
      </c>
      <c r="X47" s="515"/>
      <c r="Y47" s="515"/>
      <c r="Z47" s="515"/>
      <c r="AA47" s="516" t="s">
        <v>240</v>
      </c>
      <c r="AB47" s="517"/>
      <c r="AC47" s="518"/>
      <c r="AD47" s="519" t="s">
        <v>241</v>
      </c>
      <c r="AE47" s="520"/>
      <c r="AF47" s="520"/>
      <c r="AG47" s="521"/>
    </row>
    <row r="48" spans="1:36" ht="25.5" customHeight="1">
      <c r="A48" s="216" t="s">
        <v>87</v>
      </c>
      <c r="B48" s="216" t="s">
        <v>86</v>
      </c>
      <c r="C48" s="216" t="s">
        <v>88</v>
      </c>
      <c r="W48" s="217"/>
      <c r="X48" s="218"/>
      <c r="Y48" s="218"/>
      <c r="Z48" s="218"/>
      <c r="AA48" s="284"/>
      <c r="AB48" s="218"/>
      <c r="AC48" s="285"/>
      <c r="AD48" s="541"/>
      <c r="AE48" s="542"/>
      <c r="AF48" s="542"/>
      <c r="AG48" s="543"/>
    </row>
    <row r="49" spans="1:33" ht="25.5" customHeight="1">
      <c r="A49" s="216" t="s">
        <v>94</v>
      </c>
      <c r="B49" s="216" t="s">
        <v>242</v>
      </c>
      <c r="C49" s="216" t="s">
        <v>95</v>
      </c>
      <c r="W49" s="220"/>
      <c r="AA49" s="286"/>
      <c r="AC49" s="287"/>
      <c r="AD49" s="544"/>
      <c r="AE49" s="545"/>
      <c r="AF49" s="545"/>
      <c r="AG49" s="546"/>
    </row>
    <row r="50" spans="1:33" ht="25.5" customHeight="1">
      <c r="A50" s="216" t="s">
        <v>98</v>
      </c>
      <c r="B50" s="216" t="s">
        <v>243</v>
      </c>
      <c r="C50" s="216" t="s">
        <v>99</v>
      </c>
      <c r="W50" s="223"/>
      <c r="X50" s="224"/>
      <c r="Y50" s="224"/>
      <c r="Z50" s="224"/>
      <c r="AA50" s="288"/>
      <c r="AB50" s="224"/>
      <c r="AC50" s="289"/>
      <c r="AD50" s="547"/>
      <c r="AE50" s="548"/>
      <c r="AF50" s="548"/>
      <c r="AG50" s="549"/>
    </row>
    <row r="51" spans="1:33" ht="24">
      <c r="A51" s="216" t="s">
        <v>103</v>
      </c>
      <c r="B51" s="216" t="s">
        <v>102</v>
      </c>
      <c r="C51" s="216" t="s">
        <v>104</v>
      </c>
      <c r="M51" s="229"/>
      <c r="W51" s="529"/>
      <c r="X51" s="530"/>
      <c r="Y51" s="530"/>
      <c r="Z51" s="530"/>
      <c r="AA51" s="290"/>
      <c r="AB51" s="291"/>
      <c r="AC51" s="292"/>
      <c r="AD51" s="539"/>
      <c r="AE51" s="530"/>
      <c r="AF51" s="530"/>
      <c r="AG51" s="540"/>
    </row>
    <row r="52" spans="1:33" s="230" customFormat="1" ht="30.75" customHeight="1">
      <c r="A52" s="230" t="s">
        <v>244</v>
      </c>
      <c r="M52" s="230" t="s">
        <v>245</v>
      </c>
      <c r="AE52" s="282"/>
      <c r="AF52" s="282"/>
      <c r="AG52" s="282"/>
    </row>
  </sheetData>
  <sortState xmlns:xlrd2="http://schemas.microsoft.com/office/spreadsheetml/2017/richdata2" ref="A16:AG42">
    <sortCondition ref="V16:V42"/>
    <sortCondition ref="AB16:AB42"/>
  </sortState>
  <mergeCells count="23">
    <mergeCell ref="W51:Z51"/>
    <mergeCell ref="AB14:AB15"/>
    <mergeCell ref="AC14:AC15"/>
    <mergeCell ref="AD14:AD15"/>
    <mergeCell ref="AF14:AG14"/>
    <mergeCell ref="AD51:AG51"/>
    <mergeCell ref="AD48:AG50"/>
    <mergeCell ref="A45:Q45"/>
    <mergeCell ref="W47:Z47"/>
    <mergeCell ref="AA47:AC47"/>
    <mergeCell ref="AD47:AG47"/>
    <mergeCell ref="Z11:AA11"/>
    <mergeCell ref="A14:A15"/>
    <mergeCell ref="B14:B15"/>
    <mergeCell ref="C14:C15"/>
    <mergeCell ref="D14:O14"/>
    <mergeCell ref="P14:AA14"/>
    <mergeCell ref="X11:Y11"/>
    <mergeCell ref="N1:R1"/>
    <mergeCell ref="J11:K11"/>
    <mergeCell ref="L11:M11"/>
    <mergeCell ref="N11:O11"/>
    <mergeCell ref="V11:W11"/>
  </mergeCells>
  <conditionalFormatting sqref="T45:AJ46 D16:E17 D22:E22 O16:O21 O23:O39 P16:Q17 O22:Q22 AA16:AA39">
    <cfRule type="cellIs" dxfId="728" priority="138" stopIfTrue="1" operator="lessThan">
      <formula>100</formula>
    </cfRule>
  </conditionalFormatting>
  <conditionalFormatting sqref="R45:R46">
    <cfRule type="cellIs" dxfId="727" priority="137" stopIfTrue="1" operator="lessThan">
      <formula>100</formula>
    </cfRule>
  </conditionalFormatting>
  <conditionalFormatting sqref="S45:S46">
    <cfRule type="cellIs" dxfId="726" priority="136" stopIfTrue="1" operator="lessThan">
      <formula>100</formula>
    </cfRule>
  </conditionalFormatting>
  <conditionalFormatting sqref="AG16:AG44 AD16:AD44">
    <cfRule type="cellIs" dxfId="725" priority="96" operator="equal">
      <formula>"A"</formula>
    </cfRule>
  </conditionalFormatting>
  <conditionalFormatting sqref="M40 I19:I23 I25:I27 I29:I40 J17:N17 F16 F17:H17 F44:H44 G18:G22 F18:F40 H18:H40 J20:L40 E18:E39 D18:D20 N18:N41 J16 L16:N16 J18:J19 L18:L19 M18:M36 J42:O44 D42:H43">
    <cfRule type="cellIs" dxfId="724" priority="62" stopIfTrue="1" operator="lessThan">
      <formula>100</formula>
    </cfRule>
  </conditionalFormatting>
  <conditionalFormatting sqref="M22:N22">
    <cfRule type="cellIs" dxfId="723" priority="61" stopIfTrue="1" operator="lessThan">
      <formula>100</formula>
    </cfRule>
  </conditionalFormatting>
  <conditionalFormatting sqref="H16">
    <cfRule type="cellIs" dxfId="722" priority="60" stopIfTrue="1" operator="lessThan">
      <formula>100</formula>
    </cfRule>
  </conditionalFormatting>
  <conditionalFormatting sqref="F22:L22">
    <cfRule type="cellIs" dxfId="721" priority="59" stopIfTrue="1" operator="lessThan">
      <formula>100</formula>
    </cfRule>
  </conditionalFormatting>
  <conditionalFormatting sqref="G16">
    <cfRule type="cellIs" dxfId="720" priority="58" stopIfTrue="1" operator="lessThan">
      <formula>100</formula>
    </cfRule>
  </conditionalFormatting>
  <conditionalFormatting sqref="E40">
    <cfRule type="cellIs" dxfId="719" priority="57" stopIfTrue="1" operator="lessThan">
      <formula>100</formula>
    </cfRule>
  </conditionalFormatting>
  <conditionalFormatting sqref="O40">
    <cfRule type="cellIs" dxfId="718" priority="56" stopIfTrue="1" operator="lessThan">
      <formula>100</formula>
    </cfRule>
  </conditionalFormatting>
  <conditionalFormatting sqref="G23:G40">
    <cfRule type="cellIs" dxfId="717" priority="55" stopIfTrue="1" operator="lessThan">
      <formula>100</formula>
    </cfRule>
  </conditionalFormatting>
  <conditionalFormatting sqref="M37:M39">
    <cfRule type="cellIs" dxfId="716" priority="54" stopIfTrue="1" operator="lessThan">
      <formula>100</formula>
    </cfRule>
  </conditionalFormatting>
  <conditionalFormatting sqref="D21:D22 D29:D39">
    <cfRule type="cellIs" dxfId="715" priority="53" stopIfTrue="1" operator="lessThan">
      <formula>100</formula>
    </cfRule>
  </conditionalFormatting>
  <conditionalFormatting sqref="D40">
    <cfRule type="cellIs" dxfId="714" priority="52" stopIfTrue="1" operator="lessThan">
      <formula>100</formula>
    </cfRule>
  </conditionalFormatting>
  <conditionalFormatting sqref="D23:D28">
    <cfRule type="cellIs" dxfId="713" priority="51" stopIfTrue="1" operator="lessThan">
      <formula>100</formula>
    </cfRule>
  </conditionalFormatting>
  <conditionalFormatting sqref="I24">
    <cfRule type="cellIs" dxfId="712" priority="50" stopIfTrue="1" operator="lessThan">
      <formula>100</formula>
    </cfRule>
  </conditionalFormatting>
  <conditionalFormatting sqref="I18">
    <cfRule type="cellIs" dxfId="711" priority="49" stopIfTrue="1" operator="lessThan">
      <formula>100</formula>
    </cfRule>
  </conditionalFormatting>
  <conditionalFormatting sqref="I28">
    <cfRule type="cellIs" dxfId="710" priority="48" stopIfTrue="1" operator="lessThan">
      <formula>100</formula>
    </cfRule>
  </conditionalFormatting>
  <conditionalFormatting sqref="I16:I17">
    <cfRule type="cellIs" dxfId="709" priority="47" stopIfTrue="1" operator="lessThan">
      <formula>100</formula>
    </cfRule>
  </conditionalFormatting>
  <conditionalFormatting sqref="E44">
    <cfRule type="cellIs" dxfId="708" priority="46" stopIfTrue="1" operator="lessThan">
      <formula>100</formula>
    </cfRule>
  </conditionalFormatting>
  <conditionalFormatting sqref="D44">
    <cfRule type="cellIs" dxfId="707" priority="45" stopIfTrue="1" operator="lessThan">
      <formula>100</formula>
    </cfRule>
  </conditionalFormatting>
  <conditionalFormatting sqref="I44">
    <cfRule type="cellIs" dxfId="706" priority="44" stopIfTrue="1" operator="lessThan">
      <formula>100</formula>
    </cfRule>
  </conditionalFormatting>
  <conditionalFormatting sqref="I42:I43">
    <cfRule type="cellIs" dxfId="705" priority="43" stopIfTrue="1" operator="lessThan">
      <formula>100</formula>
    </cfRule>
  </conditionalFormatting>
  <conditionalFormatting sqref="I41 M41">
    <cfRule type="cellIs" dxfId="704" priority="42" stopIfTrue="1" operator="lessThan">
      <formula>100</formula>
    </cfRule>
  </conditionalFormatting>
  <conditionalFormatting sqref="K41">
    <cfRule type="cellIs" dxfId="703" priority="41" stopIfTrue="1" operator="lessThan">
      <formula>100</formula>
    </cfRule>
  </conditionalFormatting>
  <conditionalFormatting sqref="H41">
    <cfRule type="cellIs" dxfId="702" priority="40" stopIfTrue="1" operator="lessThan">
      <formula>100</formula>
    </cfRule>
  </conditionalFormatting>
  <conditionalFormatting sqref="J41 L41">
    <cfRule type="cellIs" dxfId="701" priority="39" stopIfTrue="1" operator="lessThan">
      <formula>100</formula>
    </cfRule>
  </conditionalFormatting>
  <conditionalFormatting sqref="E41">
    <cfRule type="cellIs" dxfId="700" priority="38" stopIfTrue="1" operator="lessThan">
      <formula>100</formula>
    </cfRule>
  </conditionalFormatting>
  <conditionalFormatting sqref="O41">
    <cfRule type="cellIs" dxfId="699" priority="37" stopIfTrue="1" operator="lessThan">
      <formula>100</formula>
    </cfRule>
  </conditionalFormatting>
  <conditionalFormatting sqref="F41">
    <cfRule type="cellIs" dxfId="698" priority="36" stopIfTrue="1" operator="lessThan">
      <formula>100</formula>
    </cfRule>
  </conditionalFormatting>
  <conditionalFormatting sqref="G41">
    <cfRule type="cellIs" dxfId="697" priority="35" stopIfTrue="1" operator="lessThan">
      <formula>100</formula>
    </cfRule>
  </conditionalFormatting>
  <conditionalFormatting sqref="D41">
    <cfRule type="cellIs" dxfId="696" priority="34" stopIfTrue="1" operator="lessThan">
      <formula>100</formula>
    </cfRule>
  </conditionalFormatting>
  <conditionalFormatting sqref="K16">
    <cfRule type="cellIs" dxfId="695" priority="33" stopIfTrue="1" operator="lessThan">
      <formula>100</formula>
    </cfRule>
  </conditionalFormatting>
  <conditionalFormatting sqref="K18:K19">
    <cfRule type="cellIs" dxfId="694" priority="32" stopIfTrue="1" operator="lessThan">
      <formula>100</formula>
    </cfRule>
  </conditionalFormatting>
  <conditionalFormatting sqref="Y40 U19:U23 U25:U27 U29:U40 V17:Z17 R16 R17:T17 R44:T44 R18:R40 T18:T40 V20:X40 Q18:Q39 P18:P20 Z18:Z41 V16 X16:Z16 V18:V19 X18:X19 Y18:Y36 V42:AA44 P42:T43 S17:S22">
    <cfRule type="cellIs" dxfId="693" priority="31" stopIfTrue="1" operator="lessThan">
      <formula>100</formula>
    </cfRule>
  </conditionalFormatting>
  <conditionalFormatting sqref="Y22:Z22">
    <cfRule type="cellIs" dxfId="692" priority="30" stopIfTrue="1" operator="lessThan">
      <formula>100</formula>
    </cfRule>
  </conditionalFormatting>
  <conditionalFormatting sqref="T16">
    <cfRule type="cellIs" dxfId="691" priority="29" stopIfTrue="1" operator="lessThan">
      <formula>100</formula>
    </cfRule>
  </conditionalFormatting>
  <conditionalFormatting sqref="R22:X22">
    <cfRule type="cellIs" dxfId="690" priority="28" stopIfTrue="1" operator="lessThan">
      <formula>100</formula>
    </cfRule>
  </conditionalFormatting>
  <conditionalFormatting sqref="S16">
    <cfRule type="cellIs" dxfId="689" priority="27" stopIfTrue="1" operator="lessThan">
      <formula>100</formula>
    </cfRule>
  </conditionalFormatting>
  <conditionalFormatting sqref="Q40">
    <cfRule type="cellIs" dxfId="688" priority="26" stopIfTrue="1" operator="lessThan">
      <formula>100</formula>
    </cfRule>
  </conditionalFormatting>
  <conditionalFormatting sqref="AA40">
    <cfRule type="cellIs" dxfId="687" priority="25" stopIfTrue="1" operator="lessThan">
      <formula>100</formula>
    </cfRule>
  </conditionalFormatting>
  <conditionalFormatting sqref="S23:S40">
    <cfRule type="cellIs" dxfId="686" priority="24" stopIfTrue="1" operator="lessThan">
      <formula>100</formula>
    </cfRule>
  </conditionalFormatting>
  <conditionalFormatting sqref="Y37:Y39">
    <cfRule type="cellIs" dxfId="685" priority="23" stopIfTrue="1" operator="lessThan">
      <formula>100</formula>
    </cfRule>
  </conditionalFormatting>
  <conditionalFormatting sqref="P21:P22 P29:P39">
    <cfRule type="cellIs" dxfId="684" priority="22" stopIfTrue="1" operator="lessThan">
      <formula>100</formula>
    </cfRule>
  </conditionalFormatting>
  <conditionalFormatting sqref="P40">
    <cfRule type="cellIs" dxfId="683" priority="21" stopIfTrue="1" operator="lessThan">
      <formula>100</formula>
    </cfRule>
  </conditionalFormatting>
  <conditionalFormatting sqref="P23:P28">
    <cfRule type="cellIs" dxfId="682" priority="20" stopIfTrue="1" operator="lessThan">
      <formula>100</formula>
    </cfRule>
  </conditionalFormatting>
  <conditionalFormatting sqref="U24">
    <cfRule type="cellIs" dxfId="681" priority="19" stopIfTrue="1" operator="lessThan">
      <formula>100</formula>
    </cfRule>
  </conditionalFormatting>
  <conditionalFormatting sqref="U18">
    <cfRule type="cellIs" dxfId="680" priority="18" stopIfTrue="1" operator="lessThan">
      <formula>100</formula>
    </cfRule>
  </conditionalFormatting>
  <conditionalFormatting sqref="U28">
    <cfRule type="cellIs" dxfId="679" priority="17" stopIfTrue="1" operator="lessThan">
      <formula>100</formula>
    </cfRule>
  </conditionalFormatting>
  <conditionalFormatting sqref="U16:U17">
    <cfRule type="cellIs" dxfId="678" priority="16" stopIfTrue="1" operator="lessThan">
      <formula>100</formula>
    </cfRule>
  </conditionalFormatting>
  <conditionalFormatting sqref="Q44">
    <cfRule type="cellIs" dxfId="677" priority="15" stopIfTrue="1" operator="lessThan">
      <formula>100</formula>
    </cfRule>
  </conditionalFormatting>
  <conditionalFormatting sqref="P44">
    <cfRule type="cellIs" dxfId="676" priority="14" stopIfTrue="1" operator="lessThan">
      <formula>100</formula>
    </cfRule>
  </conditionalFormatting>
  <conditionalFormatting sqref="U44">
    <cfRule type="cellIs" dxfId="675" priority="13" stopIfTrue="1" operator="lessThan">
      <formula>100</formula>
    </cfRule>
  </conditionalFormatting>
  <conditionalFormatting sqref="U42:U43">
    <cfRule type="cellIs" dxfId="674" priority="12" stopIfTrue="1" operator="lessThan">
      <formula>100</formula>
    </cfRule>
  </conditionalFormatting>
  <conditionalFormatting sqref="U41 Y41">
    <cfRule type="cellIs" dxfId="673" priority="11" stopIfTrue="1" operator="lessThan">
      <formula>100</formula>
    </cfRule>
  </conditionalFormatting>
  <conditionalFormatting sqref="W41">
    <cfRule type="cellIs" dxfId="672" priority="10" stopIfTrue="1" operator="lessThan">
      <formula>100</formula>
    </cfRule>
  </conditionalFormatting>
  <conditionalFormatting sqref="T41">
    <cfRule type="cellIs" dxfId="671" priority="9" stopIfTrue="1" operator="lessThan">
      <formula>100</formula>
    </cfRule>
  </conditionalFormatting>
  <conditionalFormatting sqref="V41 X41">
    <cfRule type="cellIs" dxfId="670" priority="8" stopIfTrue="1" operator="lessThan">
      <formula>100</formula>
    </cfRule>
  </conditionalFormatting>
  <conditionalFormatting sqref="Q41">
    <cfRule type="cellIs" dxfId="669" priority="7" stopIfTrue="1" operator="lessThan">
      <formula>100</formula>
    </cfRule>
  </conditionalFormatting>
  <conditionalFormatting sqref="AA41">
    <cfRule type="cellIs" dxfId="668" priority="6" stopIfTrue="1" operator="lessThan">
      <formula>100</formula>
    </cfRule>
  </conditionalFormatting>
  <conditionalFormatting sqref="R41">
    <cfRule type="cellIs" dxfId="667" priority="5" stopIfTrue="1" operator="lessThan">
      <formula>100</formula>
    </cfRule>
  </conditionalFormatting>
  <conditionalFormatting sqref="S41">
    <cfRule type="cellIs" dxfId="666" priority="4" stopIfTrue="1" operator="lessThan">
      <formula>100</formula>
    </cfRule>
  </conditionalFormatting>
  <conditionalFormatting sqref="P41">
    <cfRule type="cellIs" dxfId="665" priority="3" stopIfTrue="1" operator="lessThan">
      <formula>100</formula>
    </cfRule>
  </conditionalFormatting>
  <conditionalFormatting sqref="W16">
    <cfRule type="cellIs" dxfId="664" priority="2" stopIfTrue="1" operator="lessThan">
      <formula>100</formula>
    </cfRule>
  </conditionalFormatting>
  <conditionalFormatting sqref="W18:W19">
    <cfRule type="cellIs" dxfId="663" priority="1" stopIfTrue="1" operator="lessThan">
      <formula>100</formula>
    </cfRule>
  </conditionalFormatting>
  <printOptions horizontalCentered="1" verticalCentered="1"/>
  <pageMargins left="0" right="0" top="0" bottom="0" header="0" footer="0"/>
  <pageSetup paperSize="9" scale="45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2471-20D9-4DAA-86C1-BD1B7C942D53}">
  <sheetPr>
    <tabColor rgb="FFFFFF99"/>
  </sheetPr>
  <dimension ref="A1:AJ45"/>
  <sheetViews>
    <sheetView showGridLines="0" topLeftCell="P36" zoomScale="80" zoomScaleNormal="80" workbookViewId="0">
      <selection activeCell="AJ42" sqref="AJ42"/>
    </sheetView>
  </sheetViews>
  <sheetFormatPr defaultColWidth="9.140625" defaultRowHeight="21.75"/>
  <cols>
    <col min="1" max="1" width="12.140625" style="180" customWidth="1"/>
    <col min="2" max="2" width="18.5703125" style="180" customWidth="1"/>
    <col min="3" max="3" width="35.140625" style="180" customWidth="1"/>
    <col min="4" max="27" width="7.7109375" style="180" customWidth="1"/>
    <col min="28" max="28" width="9.5703125" style="180" customWidth="1"/>
    <col min="29" max="29" width="8.85546875" style="180" customWidth="1"/>
    <col min="30" max="30" width="8.28515625" style="180" customWidth="1"/>
    <col min="31" max="31" width="1.42578125" style="180" customWidth="1"/>
    <col min="32" max="32" width="8.42578125" style="180" customWidth="1"/>
    <col min="33" max="33" width="8.85546875" style="180" customWidth="1"/>
    <col min="34" max="16384" width="9.140625" style="180"/>
  </cols>
  <sheetData>
    <row r="1" spans="1:33" ht="40.5" customHeight="1">
      <c r="A1" s="179" t="s">
        <v>131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510" t="s">
        <v>132</v>
      </c>
      <c r="O1" s="510"/>
      <c r="P1" s="510"/>
      <c r="Q1" s="510"/>
      <c r="R1" s="510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</row>
    <row r="2" spans="1:33" ht="31.5" customHeight="1">
      <c r="A2" s="181"/>
      <c r="B2" s="181"/>
      <c r="C2" s="181"/>
      <c r="D2" s="181"/>
      <c r="E2" s="181"/>
      <c r="F2" s="181"/>
      <c r="P2" s="181"/>
      <c r="Q2" s="181"/>
      <c r="R2" s="181"/>
    </row>
    <row r="3" spans="1:33" ht="31.5" customHeight="1">
      <c r="A3" s="181"/>
      <c r="B3" s="181"/>
      <c r="C3" s="181"/>
      <c r="D3" s="181"/>
      <c r="E3" s="181"/>
      <c r="F3" s="181"/>
      <c r="P3" s="181"/>
      <c r="Q3" s="181"/>
      <c r="R3" s="181"/>
    </row>
    <row r="4" spans="1:33" ht="31.5" customHeight="1">
      <c r="A4" s="181"/>
      <c r="B4" s="181"/>
      <c r="C4" s="181"/>
      <c r="D4" s="181"/>
      <c r="E4" s="181"/>
      <c r="F4" s="181"/>
      <c r="P4" s="181"/>
      <c r="Q4" s="181"/>
      <c r="R4" s="181"/>
    </row>
    <row r="5" spans="1:33" ht="31.5" customHeight="1">
      <c r="A5" s="181"/>
      <c r="B5" s="181"/>
      <c r="C5" s="181"/>
      <c r="D5" s="181"/>
      <c r="E5" s="181"/>
      <c r="F5" s="181"/>
      <c r="P5" s="181"/>
      <c r="Q5" s="181"/>
      <c r="R5" s="181"/>
    </row>
    <row r="6" spans="1:33" ht="31.5" customHeight="1">
      <c r="A6" s="181"/>
      <c r="B6" s="181"/>
      <c r="C6" s="181"/>
      <c r="D6" s="181"/>
      <c r="E6" s="181"/>
      <c r="F6" s="181"/>
      <c r="P6" s="181"/>
      <c r="Q6" s="181"/>
      <c r="R6" s="181"/>
    </row>
    <row r="7" spans="1:33" ht="31.5" customHeight="1">
      <c r="A7" s="181"/>
      <c r="B7" s="181"/>
      <c r="C7" s="181"/>
      <c r="D7" s="181"/>
      <c r="E7" s="181"/>
      <c r="F7" s="181"/>
      <c r="P7" s="181"/>
      <c r="Q7" s="181"/>
      <c r="R7" s="181"/>
    </row>
    <row r="8" spans="1:33" ht="31.5" customHeight="1">
      <c r="A8" s="181"/>
      <c r="B8" s="181"/>
      <c r="C8" s="181"/>
      <c r="D8" s="181"/>
      <c r="E8" s="182" t="s">
        <v>133</v>
      </c>
      <c r="F8" s="181"/>
      <c r="P8" s="181"/>
      <c r="Q8" s="181"/>
      <c r="R8" s="181"/>
    </row>
    <row r="9" spans="1:33" ht="31.5" customHeight="1">
      <c r="A9" s="181"/>
      <c r="B9" s="181"/>
      <c r="C9" s="181"/>
      <c r="D9" s="181"/>
      <c r="E9" s="181"/>
      <c r="F9" s="181"/>
      <c r="P9" s="181"/>
      <c r="Q9" s="181"/>
      <c r="R9" s="181"/>
    </row>
    <row r="10" spans="1:33" ht="30" customHeight="1">
      <c r="A10" s="181"/>
      <c r="B10" s="181"/>
      <c r="C10" s="181"/>
      <c r="D10" s="181"/>
      <c r="E10" s="181"/>
      <c r="F10" s="181"/>
      <c r="P10" s="181"/>
      <c r="Q10" s="181"/>
      <c r="R10" s="181"/>
    </row>
    <row r="11" spans="1:33" ht="30.75" customHeight="1">
      <c r="C11" s="181"/>
      <c r="D11" s="181"/>
      <c r="J11" s="511"/>
      <c r="K11" s="511"/>
      <c r="L11" s="511"/>
      <c r="M11" s="511"/>
      <c r="N11" s="511"/>
      <c r="O11" s="511"/>
      <c r="P11" s="181"/>
      <c r="V11" s="511"/>
      <c r="W11" s="511"/>
      <c r="X11" s="511"/>
      <c r="Y11" s="511"/>
      <c r="Z11" s="511"/>
      <c r="AA11" s="511"/>
    </row>
    <row r="12" spans="1:33" ht="6.75" customHeight="1"/>
    <row r="13" spans="1:33" ht="15.75" customHeight="1" thickBot="1"/>
    <row r="14" spans="1:33" ht="23.25" customHeight="1" thickTop="1" thickBot="1">
      <c r="A14" s="522" t="s">
        <v>134</v>
      </c>
      <c r="B14" s="522" t="s">
        <v>135</v>
      </c>
      <c r="C14" s="524" t="s">
        <v>136</v>
      </c>
      <c r="D14" s="554" t="s">
        <v>137</v>
      </c>
      <c r="E14" s="554"/>
      <c r="F14" s="554"/>
      <c r="G14" s="554"/>
      <c r="H14" s="554"/>
      <c r="I14" s="554"/>
      <c r="J14" s="554"/>
      <c r="K14" s="554"/>
      <c r="L14" s="554"/>
      <c r="M14" s="554"/>
      <c r="N14" s="554"/>
      <c r="O14" s="554"/>
      <c r="P14" s="527" t="s">
        <v>138</v>
      </c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56" t="s">
        <v>139</v>
      </c>
      <c r="AC14" s="556" t="s">
        <v>140</v>
      </c>
      <c r="AD14" s="558" t="s">
        <v>141</v>
      </c>
      <c r="AE14" s="183"/>
      <c r="AF14" s="560" t="s">
        <v>142</v>
      </c>
      <c r="AG14" s="561"/>
    </row>
    <row r="15" spans="1:33" ht="23.25" thickTop="1" thickBot="1">
      <c r="A15" s="523"/>
      <c r="B15" s="523"/>
      <c r="C15" s="525"/>
      <c r="D15" s="184" t="s">
        <v>9</v>
      </c>
      <c r="E15" s="184" t="s">
        <v>123</v>
      </c>
      <c r="F15" s="184" t="s">
        <v>124</v>
      </c>
      <c r="G15" s="184" t="s">
        <v>125</v>
      </c>
      <c r="H15" s="184" t="s">
        <v>143</v>
      </c>
      <c r="I15" s="184" t="s">
        <v>144</v>
      </c>
      <c r="J15" s="184" t="s">
        <v>145</v>
      </c>
      <c r="K15" s="184" t="s">
        <v>146</v>
      </c>
      <c r="L15" s="184" t="s">
        <v>147</v>
      </c>
      <c r="M15" s="184" t="s">
        <v>148</v>
      </c>
      <c r="N15" s="184" t="s">
        <v>149</v>
      </c>
      <c r="O15" s="184" t="s">
        <v>150</v>
      </c>
      <c r="P15" s="231" t="s">
        <v>9</v>
      </c>
      <c r="Q15" s="184" t="s">
        <v>123</v>
      </c>
      <c r="R15" s="184" t="s">
        <v>124</v>
      </c>
      <c r="S15" s="184" t="s">
        <v>125</v>
      </c>
      <c r="T15" s="184" t="s">
        <v>143</v>
      </c>
      <c r="U15" s="184" t="s">
        <v>144</v>
      </c>
      <c r="V15" s="184" t="s">
        <v>145</v>
      </c>
      <c r="W15" s="184" t="s">
        <v>146</v>
      </c>
      <c r="X15" s="184" t="s">
        <v>147</v>
      </c>
      <c r="Y15" s="184" t="s">
        <v>148</v>
      </c>
      <c r="Z15" s="184" t="s">
        <v>149</v>
      </c>
      <c r="AA15" s="184" t="s">
        <v>150</v>
      </c>
      <c r="AB15" s="557"/>
      <c r="AC15" s="557"/>
      <c r="AD15" s="559"/>
      <c r="AE15" s="183"/>
      <c r="AF15" s="185" t="s">
        <v>151</v>
      </c>
      <c r="AG15" s="186" t="s">
        <v>76</v>
      </c>
    </row>
    <row r="16" spans="1:33" ht="21.95" customHeight="1">
      <c r="A16" s="199" t="s">
        <v>246</v>
      </c>
      <c r="B16" s="200" t="s">
        <v>247</v>
      </c>
      <c r="C16" s="203" t="s">
        <v>248</v>
      </c>
      <c r="D16" s="190">
        <v>92</v>
      </c>
      <c r="E16" s="190">
        <v>92</v>
      </c>
      <c r="F16" s="190">
        <v>92</v>
      </c>
      <c r="G16" s="190">
        <v>83.33</v>
      </c>
      <c r="H16" s="190">
        <v>83.33</v>
      </c>
      <c r="I16" s="190">
        <v>95</v>
      </c>
      <c r="J16" s="190">
        <v>83.33</v>
      </c>
      <c r="K16" s="190">
        <v>95</v>
      </c>
      <c r="L16" s="190">
        <v>95</v>
      </c>
      <c r="M16" s="190">
        <v>92</v>
      </c>
      <c r="N16" s="190">
        <v>95</v>
      </c>
      <c r="O16" s="190">
        <v>95</v>
      </c>
      <c r="P16" s="190">
        <v>83.3</v>
      </c>
      <c r="Q16" s="190">
        <v>92</v>
      </c>
      <c r="R16" s="190">
        <v>95</v>
      </c>
      <c r="S16" s="190">
        <v>83.3</v>
      </c>
      <c r="T16" s="190">
        <v>92</v>
      </c>
      <c r="U16" s="190">
        <v>83.3</v>
      </c>
      <c r="V16" s="190">
        <v>83.3</v>
      </c>
      <c r="W16" s="190"/>
      <c r="X16" s="190"/>
      <c r="Y16" s="190"/>
      <c r="Z16" s="190"/>
      <c r="AA16" s="190"/>
      <c r="AB16" s="194">
        <f>AVERAGE(P16:AA16)</f>
        <v>87.457142857142841</v>
      </c>
      <c r="AC16" s="194">
        <v>80</v>
      </c>
      <c r="AD16" s="195" t="str">
        <f>IF(V16=100,"A",IF(V16&gt;=80,"B",IF(V16&gt;=70,"C",IF(V16&lt;70,"D"))))</f>
        <v>B</v>
      </c>
      <c r="AE16" s="196"/>
      <c r="AF16" s="197">
        <f>AVERAGE(Q16:V16)</f>
        <v>88.149999999999991</v>
      </c>
      <c r="AG16" s="198" t="str">
        <f>IF(AF16=100,"A",IF(AF16&gt;=80,"B",IF(AF16&gt;=70,"C",IF(AF16&lt;70,"D"))))</f>
        <v>B</v>
      </c>
    </row>
    <row r="17" spans="1:34" ht="21.95" customHeight="1">
      <c r="A17" s="199" t="s">
        <v>249</v>
      </c>
      <c r="B17" s="200" t="s">
        <v>250</v>
      </c>
      <c r="C17" s="203" t="s">
        <v>251</v>
      </c>
      <c r="D17" s="190">
        <v>92</v>
      </c>
      <c r="E17" s="190">
        <v>92</v>
      </c>
      <c r="F17" s="190">
        <v>90</v>
      </c>
      <c r="G17" s="190">
        <v>83.33</v>
      </c>
      <c r="H17" s="190">
        <v>95</v>
      </c>
      <c r="I17" s="190">
        <v>83.33</v>
      </c>
      <c r="J17" s="190">
        <v>83.33</v>
      </c>
      <c r="K17" s="190">
        <v>92</v>
      </c>
      <c r="L17" s="190">
        <v>92</v>
      </c>
      <c r="M17" s="190">
        <v>83.33</v>
      </c>
      <c r="N17" s="190">
        <v>92</v>
      </c>
      <c r="O17" s="190">
        <v>83.33</v>
      </c>
      <c r="P17" s="190">
        <v>92</v>
      </c>
      <c r="Q17" s="190">
        <v>83.3</v>
      </c>
      <c r="R17" s="190">
        <v>83.33</v>
      </c>
      <c r="S17" s="190">
        <v>93</v>
      </c>
      <c r="T17" s="190">
        <v>95</v>
      </c>
      <c r="U17" s="190">
        <v>92</v>
      </c>
      <c r="V17" s="190">
        <v>92</v>
      </c>
      <c r="W17" s="190"/>
      <c r="X17" s="190"/>
      <c r="Y17" s="190"/>
      <c r="Z17" s="190"/>
      <c r="AA17" s="190"/>
      <c r="AB17" s="194">
        <f>AVERAGE(P17:AA17)</f>
        <v>90.09</v>
      </c>
      <c r="AC17" s="194">
        <v>80</v>
      </c>
      <c r="AD17" s="195" t="str">
        <f t="shared" ref="AD17:AD18" si="0">IF(V17=100,"A",IF(V17&gt;=80,"B",IF(V17&gt;=70,"C",IF(V17&lt;70,"D"))))</f>
        <v>B</v>
      </c>
      <c r="AE17" s="196"/>
      <c r="AF17" s="197">
        <f t="shared" ref="AF17:AF18" si="1">AVERAGE(Q17:V17)</f>
        <v>89.771666666666661</v>
      </c>
      <c r="AG17" s="198" t="str">
        <f>IF(AF17=100,"A",IF(AF17&gt;=80,"B",IF(AF17&gt;=70,"C",IF(AF17&lt;70,"D"))))</f>
        <v>B</v>
      </c>
      <c r="AH17" s="204"/>
    </row>
    <row r="18" spans="1:34" ht="21.95" customHeight="1">
      <c r="A18" s="199" t="s">
        <v>252</v>
      </c>
      <c r="B18" s="200" t="s">
        <v>253</v>
      </c>
      <c r="C18" s="205" t="s">
        <v>254</v>
      </c>
      <c r="D18" s="190">
        <v>95</v>
      </c>
      <c r="E18" s="190">
        <v>95</v>
      </c>
      <c r="F18" s="190">
        <v>83.33</v>
      </c>
      <c r="G18" s="190">
        <v>95</v>
      </c>
      <c r="H18" s="190">
        <v>95</v>
      </c>
      <c r="I18" s="190">
        <v>95</v>
      </c>
      <c r="J18" s="190">
        <v>95</v>
      </c>
      <c r="K18" s="190">
        <v>95</v>
      </c>
      <c r="L18" s="190">
        <v>95</v>
      </c>
      <c r="M18" s="190">
        <v>95</v>
      </c>
      <c r="N18" s="190">
        <v>95</v>
      </c>
      <c r="O18" s="190">
        <v>83.33</v>
      </c>
      <c r="P18" s="190">
        <v>95</v>
      </c>
      <c r="Q18" s="190">
        <v>95</v>
      </c>
      <c r="R18" s="190">
        <v>95</v>
      </c>
      <c r="S18" s="190">
        <v>95</v>
      </c>
      <c r="T18" s="190">
        <v>95</v>
      </c>
      <c r="U18" s="190">
        <v>95</v>
      </c>
      <c r="V18" s="190">
        <v>95</v>
      </c>
      <c r="W18" s="190"/>
      <c r="X18" s="190"/>
      <c r="Y18" s="190"/>
      <c r="Z18" s="190"/>
      <c r="AA18" s="190"/>
      <c r="AB18" s="194">
        <f>AVERAGE(P18:AA18)</f>
        <v>95</v>
      </c>
      <c r="AC18" s="194">
        <v>80</v>
      </c>
      <c r="AD18" s="195" t="str">
        <f t="shared" si="0"/>
        <v>B</v>
      </c>
      <c r="AE18" s="196"/>
      <c r="AF18" s="197">
        <f t="shared" si="1"/>
        <v>95</v>
      </c>
      <c r="AG18" s="198" t="str">
        <f>IF(AF18=100,"A",IF(AF18&gt;=80,"B",IF(AF18&gt;=70,"C",IF(AF18&lt;70,"D"))))</f>
        <v>B</v>
      </c>
    </row>
    <row r="19" spans="1:34" ht="21.95" customHeight="1">
      <c r="A19" s="199"/>
      <c r="B19" s="200"/>
      <c r="C19" s="203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232"/>
      <c r="Q19" s="190"/>
      <c r="R19" s="190"/>
      <c r="S19" s="190"/>
      <c r="T19" s="190"/>
      <c r="U19" s="190"/>
      <c r="V19" s="190"/>
      <c r="W19" s="190"/>
      <c r="X19" s="192"/>
      <c r="Y19" s="190"/>
      <c r="Z19" s="190"/>
      <c r="AA19" s="190"/>
      <c r="AB19" s="194"/>
      <c r="AC19" s="194"/>
      <c r="AD19" s="195"/>
      <c r="AE19" s="196"/>
      <c r="AF19" s="197"/>
      <c r="AG19" s="235"/>
    </row>
    <row r="20" spans="1:34" ht="21.95" customHeight="1">
      <c r="A20" s="199"/>
      <c r="B20" s="200"/>
      <c r="C20" s="203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232"/>
      <c r="Q20" s="190"/>
      <c r="R20" s="190"/>
      <c r="S20" s="190"/>
      <c r="T20" s="190"/>
      <c r="U20" s="190"/>
      <c r="V20" s="190"/>
      <c r="W20" s="190"/>
      <c r="X20" s="192"/>
      <c r="Y20" s="190"/>
      <c r="Z20" s="190"/>
      <c r="AA20" s="190"/>
      <c r="AB20" s="194"/>
      <c r="AC20" s="194"/>
      <c r="AD20" s="233"/>
      <c r="AE20" s="196"/>
      <c r="AF20" s="234"/>
      <c r="AG20" s="235"/>
    </row>
    <row r="21" spans="1:34" ht="21.95" customHeight="1">
      <c r="A21" s="199"/>
      <c r="B21" s="200"/>
      <c r="C21" s="207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232"/>
      <c r="Q21" s="190"/>
      <c r="R21" s="190"/>
      <c r="S21" s="190"/>
      <c r="T21" s="190"/>
      <c r="U21" s="190"/>
      <c r="V21" s="190"/>
      <c r="W21" s="190"/>
      <c r="X21" s="192"/>
      <c r="Y21" s="190"/>
      <c r="Z21" s="190"/>
      <c r="AA21" s="190"/>
      <c r="AB21" s="194"/>
      <c r="AC21" s="194"/>
      <c r="AD21" s="233"/>
      <c r="AE21" s="196"/>
      <c r="AF21" s="234"/>
      <c r="AG21" s="235"/>
    </row>
    <row r="22" spans="1:34" ht="21.95" customHeight="1">
      <c r="A22" s="199"/>
      <c r="B22" s="200"/>
      <c r="C22" s="203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232"/>
      <c r="Q22" s="190"/>
      <c r="R22" s="190"/>
      <c r="S22" s="190"/>
      <c r="T22" s="190"/>
      <c r="U22" s="190"/>
      <c r="V22" s="190"/>
      <c r="W22" s="190"/>
      <c r="X22" s="192"/>
      <c r="Y22" s="190"/>
      <c r="Z22" s="190"/>
      <c r="AA22" s="190"/>
      <c r="AB22" s="194"/>
      <c r="AC22" s="194"/>
      <c r="AD22" s="233"/>
      <c r="AE22" s="196"/>
      <c r="AF22" s="236"/>
      <c r="AG22" s="235"/>
    </row>
    <row r="23" spans="1:34" ht="21.95" customHeight="1">
      <c r="A23" s="199"/>
      <c r="B23" s="200"/>
      <c r="C23" s="207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232"/>
      <c r="Q23" s="190"/>
      <c r="R23" s="190"/>
      <c r="S23" s="190"/>
      <c r="T23" s="190"/>
      <c r="U23" s="190"/>
      <c r="V23" s="190"/>
      <c r="W23" s="190"/>
      <c r="X23" s="192"/>
      <c r="Y23" s="190"/>
      <c r="Z23" s="190"/>
      <c r="AA23" s="190"/>
      <c r="AB23" s="194"/>
      <c r="AC23" s="194"/>
      <c r="AD23" s="233"/>
      <c r="AE23" s="196"/>
      <c r="AF23" s="236"/>
      <c r="AG23" s="235"/>
    </row>
    <row r="24" spans="1:34" ht="21.95" customHeight="1">
      <c r="A24" s="199"/>
      <c r="B24" s="200"/>
      <c r="C24" s="203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232"/>
      <c r="Q24" s="190"/>
      <c r="R24" s="190"/>
      <c r="S24" s="190"/>
      <c r="T24" s="190"/>
      <c r="U24" s="190"/>
      <c r="V24" s="190"/>
      <c r="W24" s="190"/>
      <c r="X24" s="192"/>
      <c r="Y24" s="190"/>
      <c r="Z24" s="190"/>
      <c r="AA24" s="190"/>
      <c r="AB24" s="194"/>
      <c r="AC24" s="194"/>
      <c r="AD24" s="233"/>
      <c r="AE24" s="196"/>
      <c r="AF24" s="236"/>
      <c r="AG24" s="235"/>
    </row>
    <row r="25" spans="1:34" ht="21.95" customHeight="1">
      <c r="A25" s="199"/>
      <c r="B25" s="200"/>
      <c r="C25" s="203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232"/>
      <c r="Q25" s="190"/>
      <c r="R25" s="190"/>
      <c r="S25" s="190"/>
      <c r="T25" s="190"/>
      <c r="U25" s="190"/>
      <c r="V25" s="190"/>
      <c r="W25" s="190"/>
      <c r="X25" s="237"/>
      <c r="Y25" s="190"/>
      <c r="Z25" s="190"/>
      <c r="AA25" s="190"/>
      <c r="AB25" s="194"/>
      <c r="AC25" s="194"/>
      <c r="AD25" s="233"/>
      <c r="AE25" s="196"/>
      <c r="AF25" s="236"/>
      <c r="AG25" s="235"/>
    </row>
    <row r="26" spans="1:34" ht="21.95" customHeight="1">
      <c r="A26" s="199"/>
      <c r="B26" s="200"/>
      <c r="C26" s="208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232"/>
      <c r="Q26" s="190"/>
      <c r="R26" s="190"/>
      <c r="S26" s="190"/>
      <c r="T26" s="190"/>
      <c r="U26" s="190"/>
      <c r="V26" s="190"/>
      <c r="W26" s="190"/>
      <c r="X26" s="192"/>
      <c r="Y26" s="190"/>
      <c r="Z26" s="190"/>
      <c r="AA26" s="190"/>
      <c r="AB26" s="194"/>
      <c r="AC26" s="194"/>
      <c r="AD26" s="233"/>
      <c r="AE26" s="196"/>
      <c r="AF26" s="236"/>
      <c r="AG26" s="235"/>
    </row>
    <row r="27" spans="1:34" ht="21.95" customHeight="1">
      <c r="A27" s="199"/>
      <c r="B27" s="200"/>
      <c r="C27" s="189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232"/>
      <c r="Q27" s="190"/>
      <c r="R27" s="190"/>
      <c r="S27" s="190"/>
      <c r="T27" s="190"/>
      <c r="U27" s="190"/>
      <c r="V27" s="190"/>
      <c r="W27" s="190"/>
      <c r="X27" s="192"/>
      <c r="Y27" s="190"/>
      <c r="Z27" s="190"/>
      <c r="AA27" s="190"/>
      <c r="AB27" s="194"/>
      <c r="AC27" s="194"/>
      <c r="AD27" s="233"/>
      <c r="AE27" s="196"/>
      <c r="AF27" s="236"/>
      <c r="AG27" s="235"/>
    </row>
    <row r="28" spans="1:34" ht="21.95" customHeight="1">
      <c r="A28" s="199"/>
      <c r="B28" s="200"/>
      <c r="C28" s="189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232"/>
      <c r="Q28" s="190"/>
      <c r="R28" s="190"/>
      <c r="S28" s="190"/>
      <c r="T28" s="190"/>
      <c r="U28" s="190"/>
      <c r="V28" s="190"/>
      <c r="W28" s="190"/>
      <c r="X28" s="192"/>
      <c r="Y28" s="190"/>
      <c r="Z28" s="190"/>
      <c r="AA28" s="190"/>
      <c r="AB28" s="194"/>
      <c r="AC28" s="194"/>
      <c r="AD28" s="233"/>
      <c r="AE28" s="196"/>
      <c r="AF28" s="236"/>
      <c r="AG28" s="235"/>
    </row>
    <row r="29" spans="1:34" ht="21.95" customHeight="1">
      <c r="A29" s="199"/>
      <c r="B29" s="200"/>
      <c r="C29" s="205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232"/>
      <c r="Q29" s="190"/>
      <c r="R29" s="190"/>
      <c r="S29" s="190"/>
      <c r="T29" s="190"/>
      <c r="U29" s="190"/>
      <c r="V29" s="190"/>
      <c r="W29" s="190"/>
      <c r="X29" s="192"/>
      <c r="Y29" s="190"/>
      <c r="Z29" s="190"/>
      <c r="AA29" s="190"/>
      <c r="AB29" s="194"/>
      <c r="AC29" s="194"/>
      <c r="AD29" s="233"/>
      <c r="AE29" s="196"/>
      <c r="AF29" s="236"/>
      <c r="AG29" s="235"/>
      <c r="AH29" s="206"/>
    </row>
    <row r="30" spans="1:34" ht="21.95" customHeight="1">
      <c r="A30" s="209"/>
      <c r="B30" s="210"/>
      <c r="C30" s="203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232"/>
      <c r="Q30" s="190"/>
      <c r="R30" s="190"/>
      <c r="S30" s="190"/>
      <c r="T30" s="190"/>
      <c r="U30" s="190"/>
      <c r="V30" s="190"/>
      <c r="W30" s="190"/>
      <c r="X30" s="237"/>
      <c r="Y30" s="190"/>
      <c r="Z30" s="190"/>
      <c r="AA30" s="190"/>
      <c r="AB30" s="194"/>
      <c r="AC30" s="194"/>
      <c r="AD30" s="233"/>
      <c r="AE30" s="196"/>
      <c r="AF30" s="236"/>
      <c r="AG30" s="235"/>
    </row>
    <row r="31" spans="1:34" ht="21.95" customHeight="1">
      <c r="A31" s="187"/>
      <c r="B31" s="188"/>
      <c r="C31" s="207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232"/>
      <c r="Q31" s="190"/>
      <c r="R31" s="190"/>
      <c r="S31" s="190"/>
      <c r="T31" s="190"/>
      <c r="U31" s="190"/>
      <c r="V31" s="190"/>
      <c r="W31" s="190"/>
      <c r="X31" s="192"/>
      <c r="Y31" s="190"/>
      <c r="Z31" s="190"/>
      <c r="AA31" s="190"/>
      <c r="AB31" s="194"/>
      <c r="AC31" s="194"/>
      <c r="AD31" s="233"/>
      <c r="AE31" s="196"/>
      <c r="AF31" s="236"/>
      <c r="AG31" s="235"/>
    </row>
    <row r="32" spans="1:34" ht="21.95" customHeight="1">
      <c r="A32" s="199"/>
      <c r="B32" s="200"/>
      <c r="C32" s="203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232"/>
      <c r="Q32" s="190"/>
      <c r="R32" s="190"/>
      <c r="S32" s="190"/>
      <c r="T32" s="190"/>
      <c r="U32" s="190"/>
      <c r="V32" s="190"/>
      <c r="W32" s="190"/>
      <c r="X32" s="192"/>
      <c r="Y32" s="190"/>
      <c r="Z32" s="192"/>
      <c r="AA32" s="190"/>
      <c r="AB32" s="194"/>
      <c r="AC32" s="194"/>
      <c r="AD32" s="233"/>
      <c r="AE32" s="196"/>
      <c r="AF32" s="236"/>
      <c r="AG32" s="235"/>
    </row>
    <row r="33" spans="1:36" ht="21.95" customHeight="1">
      <c r="A33" s="199"/>
      <c r="B33" s="200"/>
      <c r="C33" s="201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232"/>
      <c r="Q33" s="190"/>
      <c r="R33" s="190"/>
      <c r="S33" s="190"/>
      <c r="T33" s="190"/>
      <c r="U33" s="190"/>
      <c r="V33" s="190"/>
      <c r="W33" s="190"/>
      <c r="X33" s="192"/>
      <c r="Y33" s="190"/>
      <c r="Z33" s="190"/>
      <c r="AA33" s="190"/>
      <c r="AB33" s="194"/>
      <c r="AC33" s="194"/>
      <c r="AD33" s="233"/>
      <c r="AE33" s="196"/>
      <c r="AF33" s="236"/>
      <c r="AG33" s="235"/>
    </row>
    <row r="34" spans="1:36" ht="21.95" customHeight="1">
      <c r="A34" s="199"/>
      <c r="B34" s="200"/>
      <c r="C34" s="203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232"/>
      <c r="Q34" s="190"/>
      <c r="R34" s="190"/>
      <c r="S34" s="190"/>
      <c r="T34" s="190"/>
      <c r="U34" s="190"/>
      <c r="V34" s="190"/>
      <c r="W34" s="190"/>
      <c r="X34" s="192"/>
      <c r="Y34" s="190"/>
      <c r="Z34" s="190"/>
      <c r="AA34" s="190"/>
      <c r="AB34" s="194"/>
      <c r="AC34" s="194"/>
      <c r="AD34" s="233"/>
      <c r="AE34" s="196"/>
      <c r="AF34" s="236"/>
      <c r="AG34" s="235"/>
    </row>
    <row r="35" spans="1:36" ht="21.95" customHeight="1">
      <c r="A35" s="199"/>
      <c r="B35" s="200"/>
      <c r="C35" s="207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232"/>
      <c r="Q35" s="190"/>
      <c r="R35" s="190"/>
      <c r="S35" s="190"/>
      <c r="T35" s="190"/>
      <c r="U35" s="190"/>
      <c r="V35" s="190"/>
      <c r="W35" s="190"/>
      <c r="X35" s="192"/>
      <c r="Y35" s="190"/>
      <c r="Z35" s="190"/>
      <c r="AA35" s="190"/>
      <c r="AB35" s="194"/>
      <c r="AC35" s="194"/>
      <c r="AD35" s="233"/>
      <c r="AE35" s="196"/>
      <c r="AF35" s="236"/>
      <c r="AG35" s="235"/>
    </row>
    <row r="36" spans="1:36" ht="21.95" customHeight="1">
      <c r="A36" s="199"/>
      <c r="B36" s="200"/>
      <c r="C36" s="203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232"/>
      <c r="Q36" s="190"/>
      <c r="R36" s="190"/>
      <c r="S36" s="190"/>
      <c r="T36" s="190"/>
      <c r="U36" s="190"/>
      <c r="V36" s="190"/>
      <c r="W36" s="190"/>
      <c r="X36" s="192"/>
      <c r="Y36" s="190"/>
      <c r="Z36" s="190"/>
      <c r="AA36" s="190"/>
      <c r="AB36" s="194"/>
      <c r="AC36" s="194"/>
      <c r="AD36" s="233"/>
      <c r="AE36" s="196"/>
      <c r="AF36" s="236"/>
      <c r="AG36" s="235"/>
    </row>
    <row r="37" spans="1:36" ht="21.95" customHeight="1" thickBot="1">
      <c r="A37" s="187"/>
      <c r="B37" s="188"/>
      <c r="C37" s="203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232"/>
      <c r="Q37" s="190"/>
      <c r="R37" s="190"/>
      <c r="S37" s="190"/>
      <c r="T37" s="190"/>
      <c r="U37" s="190"/>
      <c r="V37" s="190"/>
      <c r="W37" s="190"/>
      <c r="X37" s="192"/>
      <c r="Y37" s="190"/>
      <c r="Z37" s="190"/>
      <c r="AA37" s="190"/>
      <c r="AB37" s="194"/>
      <c r="AC37" s="194"/>
      <c r="AD37" s="233"/>
      <c r="AE37" s="196"/>
      <c r="AF37" s="238"/>
      <c r="AG37" s="239"/>
    </row>
    <row r="38" spans="1:36" ht="24" customHeight="1" thickTop="1">
      <c r="A38" s="512" t="s">
        <v>237</v>
      </c>
      <c r="B38" s="512"/>
      <c r="C38" s="512"/>
      <c r="D38" s="512"/>
      <c r="E38" s="512"/>
      <c r="F38" s="512"/>
      <c r="G38" s="512"/>
      <c r="H38" s="512"/>
      <c r="I38" s="512"/>
      <c r="J38" s="512"/>
      <c r="K38" s="512"/>
      <c r="L38" s="512"/>
      <c r="M38" s="512"/>
      <c r="N38" s="512"/>
      <c r="O38" s="512"/>
      <c r="P38" s="512"/>
      <c r="Q38" s="512"/>
      <c r="AB38" s="204"/>
    </row>
    <row r="39" spans="1:36" ht="20.25" customHeight="1">
      <c r="A39" s="213" t="s">
        <v>238</v>
      </c>
      <c r="B39" s="214"/>
      <c r="C39" s="214"/>
      <c r="AB39" s="204"/>
    </row>
    <row r="40" spans="1:36" ht="22.5" customHeight="1">
      <c r="A40" s="240" t="s">
        <v>76</v>
      </c>
      <c r="B40" s="240" t="s">
        <v>151</v>
      </c>
      <c r="C40" s="215" t="s">
        <v>82</v>
      </c>
      <c r="W40" s="514" t="s">
        <v>239</v>
      </c>
      <c r="X40" s="515"/>
      <c r="Y40" s="515"/>
      <c r="Z40" s="550"/>
      <c r="AA40" s="514" t="s">
        <v>240</v>
      </c>
      <c r="AB40" s="515"/>
      <c r="AC40" s="515"/>
      <c r="AD40" s="551" t="s">
        <v>241</v>
      </c>
      <c r="AE40" s="552"/>
      <c r="AF40" s="552"/>
      <c r="AG40" s="553"/>
    </row>
    <row r="41" spans="1:36" ht="32.25" customHeight="1">
      <c r="A41" s="216" t="s">
        <v>87</v>
      </c>
      <c r="B41" s="216" t="s">
        <v>86</v>
      </c>
      <c r="C41" s="216" t="s">
        <v>88</v>
      </c>
      <c r="W41" s="217"/>
      <c r="X41" s="218"/>
      <c r="Y41" s="218"/>
      <c r="Z41" s="219"/>
      <c r="AA41" s="217"/>
      <c r="AB41" s="218"/>
      <c r="AC41" s="218"/>
      <c r="AD41" s="217"/>
      <c r="AE41" s="218"/>
      <c r="AF41" s="218"/>
      <c r="AG41" s="219"/>
    </row>
    <row r="42" spans="1:36" ht="32.25" customHeight="1">
      <c r="A42" s="216" t="s">
        <v>94</v>
      </c>
      <c r="B42" s="216" t="s">
        <v>242</v>
      </c>
      <c r="C42" s="216" t="s">
        <v>95</v>
      </c>
      <c r="W42" s="220"/>
      <c r="Z42" s="221"/>
      <c r="AA42" s="220"/>
      <c r="AD42" s="220"/>
      <c r="AF42" s="204"/>
      <c r="AG42" s="222"/>
    </row>
    <row r="43" spans="1:36" ht="32.25" customHeight="1">
      <c r="A43" s="216" t="s">
        <v>98</v>
      </c>
      <c r="B43" s="216" t="s">
        <v>243</v>
      </c>
      <c r="C43" s="216" t="s">
        <v>99</v>
      </c>
      <c r="W43" s="223"/>
      <c r="X43" s="224"/>
      <c r="Y43" s="224"/>
      <c r="Z43" s="225"/>
      <c r="AA43" s="223"/>
      <c r="AB43" s="224"/>
      <c r="AC43" s="224"/>
      <c r="AD43" s="223"/>
      <c r="AE43" s="226"/>
      <c r="AF43" s="227"/>
      <c r="AG43" s="228"/>
    </row>
    <row r="44" spans="1:36" ht="24">
      <c r="A44" s="216" t="s">
        <v>103</v>
      </c>
      <c r="B44" s="216" t="s">
        <v>102</v>
      </c>
      <c r="C44" s="216" t="s">
        <v>104</v>
      </c>
      <c r="M44" s="229"/>
      <c r="W44" s="529"/>
      <c r="X44" s="530"/>
      <c r="Y44" s="530"/>
      <c r="Z44" s="540"/>
      <c r="AA44" s="241"/>
      <c r="AB44" s="242"/>
      <c r="AC44" s="242"/>
      <c r="AD44" s="529"/>
      <c r="AE44" s="530"/>
      <c r="AF44" s="530"/>
      <c r="AG44" s="540"/>
    </row>
    <row r="45" spans="1:36" s="230" customFormat="1" ht="30.75" customHeight="1">
      <c r="A45" s="230" t="s">
        <v>244</v>
      </c>
      <c r="M45" s="230" t="s">
        <v>245</v>
      </c>
      <c r="AD45" s="555" t="s">
        <v>255</v>
      </c>
      <c r="AE45" s="555"/>
      <c r="AF45" s="555"/>
      <c r="AG45" s="555"/>
      <c r="AH45" s="180"/>
      <c r="AI45" s="180"/>
      <c r="AJ45" s="180"/>
    </row>
  </sheetData>
  <sortState xmlns:xlrd2="http://schemas.microsoft.com/office/spreadsheetml/2017/richdata2" ref="A16:AG18">
    <sortCondition ref="S16:S18"/>
    <sortCondition ref="AB16:AB18"/>
  </sortState>
  <mergeCells count="23">
    <mergeCell ref="AD45:AG45"/>
    <mergeCell ref="W44:Z44"/>
    <mergeCell ref="AD44:AG44"/>
    <mergeCell ref="AB14:AB15"/>
    <mergeCell ref="AC14:AC15"/>
    <mergeCell ref="AD14:AD15"/>
    <mergeCell ref="AF14:AG14"/>
    <mergeCell ref="A38:Q38"/>
    <mergeCell ref="W40:Z40"/>
    <mergeCell ref="AA40:AC40"/>
    <mergeCell ref="AD40:AG40"/>
    <mergeCell ref="Z11:AA11"/>
    <mergeCell ref="A14:A15"/>
    <mergeCell ref="B14:B15"/>
    <mergeCell ref="C14:C15"/>
    <mergeCell ref="D14:O14"/>
    <mergeCell ref="P14:AA14"/>
    <mergeCell ref="X11:Y11"/>
    <mergeCell ref="N1:R1"/>
    <mergeCell ref="J11:K11"/>
    <mergeCell ref="L11:M11"/>
    <mergeCell ref="N11:O11"/>
    <mergeCell ref="V11:W11"/>
  </mergeCells>
  <conditionalFormatting sqref="Z32 Y30:Z31 Y34:AA35 Y36:Z36 Y26:Z28 Y19:Z20 X19:X37">
    <cfRule type="cellIs" dxfId="662" priority="79" stopIfTrue="1" operator="lessThan">
      <formula>100</formula>
    </cfRule>
  </conditionalFormatting>
  <conditionalFormatting sqref="Y29:Z29 Y24:AA24">
    <cfRule type="cellIs" dxfId="661" priority="78" stopIfTrue="1" operator="lessThan">
      <formula>100</formula>
    </cfRule>
  </conditionalFormatting>
  <conditionalFormatting sqref="Y33:Z33">
    <cfRule type="cellIs" dxfId="660" priority="77" stopIfTrue="1" operator="lessThan">
      <formula>100</formula>
    </cfRule>
  </conditionalFormatting>
  <conditionalFormatting sqref="Y22:Z22">
    <cfRule type="cellIs" dxfId="659" priority="76" stopIfTrue="1" operator="lessThan">
      <formula>100</formula>
    </cfRule>
  </conditionalFormatting>
  <conditionalFormatting sqref="Y25:Z25">
    <cfRule type="cellIs" dxfId="658" priority="75" stopIfTrue="1" operator="lessThan">
      <formula>100</formula>
    </cfRule>
  </conditionalFormatting>
  <conditionalFormatting sqref="Y21:Z21">
    <cfRule type="cellIs" dxfId="657" priority="74" stopIfTrue="1" operator="lessThan">
      <formula>100</formula>
    </cfRule>
  </conditionalFormatting>
  <conditionalFormatting sqref="Y23:AA23">
    <cfRule type="cellIs" dxfId="656" priority="73" stopIfTrue="1" operator="lessThan">
      <formula>100</formula>
    </cfRule>
  </conditionalFormatting>
  <conditionalFormatting sqref="AA31">
    <cfRule type="cellIs" dxfId="655" priority="72" stopIfTrue="1" operator="lessThan">
      <formula>100</formula>
    </cfRule>
  </conditionalFormatting>
  <conditionalFormatting sqref="AA19">
    <cfRule type="cellIs" dxfId="654" priority="71" stopIfTrue="1" operator="lessThan">
      <formula>100</formula>
    </cfRule>
  </conditionalFormatting>
  <conditionalFormatting sqref="AA20">
    <cfRule type="cellIs" dxfId="653" priority="70" stopIfTrue="1" operator="lessThan">
      <formula>100</formula>
    </cfRule>
  </conditionalFormatting>
  <conditionalFormatting sqref="AA26:AA28">
    <cfRule type="cellIs" dxfId="652" priority="69" stopIfTrue="1" operator="lessThan">
      <formula>100</formula>
    </cfRule>
  </conditionalFormatting>
  <conditionalFormatting sqref="AA30">
    <cfRule type="cellIs" dxfId="651" priority="68" stopIfTrue="1" operator="lessThan">
      <formula>100</formula>
    </cfRule>
  </conditionalFormatting>
  <conditionalFormatting sqref="AA32">
    <cfRule type="cellIs" dxfId="650" priority="67" stopIfTrue="1" operator="lessThan">
      <formula>100</formula>
    </cfRule>
  </conditionalFormatting>
  <conditionalFormatting sqref="AA29">
    <cfRule type="cellIs" dxfId="649" priority="66" stopIfTrue="1" operator="lessThan">
      <formula>100</formula>
    </cfRule>
  </conditionalFormatting>
  <conditionalFormatting sqref="AA33">
    <cfRule type="cellIs" dxfId="648" priority="65" stopIfTrue="1" operator="lessThan">
      <formula>100</formula>
    </cfRule>
  </conditionalFormatting>
  <conditionalFormatting sqref="AA21">
    <cfRule type="cellIs" dxfId="647" priority="64" stopIfTrue="1" operator="lessThan">
      <formula>100</formula>
    </cfRule>
  </conditionalFormatting>
  <conditionalFormatting sqref="AA25">
    <cfRule type="cellIs" dxfId="646" priority="63" stopIfTrue="1" operator="lessThan">
      <formula>100</formula>
    </cfRule>
  </conditionalFormatting>
  <conditionalFormatting sqref="AA22">
    <cfRule type="cellIs" dxfId="645" priority="62" stopIfTrue="1" operator="lessThan">
      <formula>100</formula>
    </cfRule>
  </conditionalFormatting>
  <conditionalFormatting sqref="AA36">
    <cfRule type="cellIs" dxfId="644" priority="61" stopIfTrue="1" operator="lessThan">
      <formula>100</formula>
    </cfRule>
  </conditionalFormatting>
  <conditionalFormatting sqref="Y37:AA37">
    <cfRule type="cellIs" dxfId="643" priority="60" stopIfTrue="1" operator="lessThan">
      <formula>100</formula>
    </cfRule>
  </conditionalFormatting>
  <conditionalFormatting sqref="D19:G37">
    <cfRule type="cellIs" dxfId="642" priority="59" stopIfTrue="1" operator="lessThan">
      <formula>100</formula>
    </cfRule>
  </conditionalFormatting>
  <conditionalFormatting sqref="H19:W37">
    <cfRule type="cellIs" dxfId="641" priority="58" stopIfTrue="1" operator="lessThan">
      <formula>100</formula>
    </cfRule>
  </conditionalFormatting>
  <conditionalFormatting sqref="AD16:AD19">
    <cfRule type="cellIs" dxfId="640" priority="34" operator="equal">
      <formula>"A"</formula>
    </cfRule>
  </conditionalFormatting>
  <conditionalFormatting sqref="AG16:AG18">
    <cfRule type="cellIs" dxfId="639" priority="33" operator="equal">
      <formula>"A"</formula>
    </cfRule>
  </conditionalFormatting>
  <conditionalFormatting sqref="N16">
    <cfRule type="cellIs" dxfId="638" priority="30" stopIfTrue="1" operator="lessThan">
      <formula>100</formula>
    </cfRule>
  </conditionalFormatting>
  <conditionalFormatting sqref="N18">
    <cfRule type="cellIs" dxfId="637" priority="29" stopIfTrue="1" operator="lessThan">
      <formula>100</formula>
    </cfRule>
  </conditionalFormatting>
  <conditionalFormatting sqref="O18">
    <cfRule type="cellIs" dxfId="636" priority="28" stopIfTrue="1" operator="lessThan">
      <formula>100</formula>
    </cfRule>
  </conditionalFormatting>
  <conditionalFormatting sqref="O16">
    <cfRule type="cellIs" dxfId="635" priority="27" stopIfTrue="1" operator="lessThan">
      <formula>100</formula>
    </cfRule>
  </conditionalFormatting>
  <conditionalFormatting sqref="F17 J17:O17">
    <cfRule type="cellIs" dxfId="634" priority="26" stopIfTrue="1" operator="lessThan">
      <formula>100</formula>
    </cfRule>
  </conditionalFormatting>
  <conditionalFormatting sqref="F16:M16">
    <cfRule type="cellIs" dxfId="633" priority="25" stopIfTrue="1" operator="lessThan">
      <formula>100</formula>
    </cfRule>
  </conditionalFormatting>
  <conditionalFormatting sqref="F18 H18:M18">
    <cfRule type="cellIs" dxfId="632" priority="24" stopIfTrue="1" operator="lessThan">
      <formula>100</formula>
    </cfRule>
  </conditionalFormatting>
  <conditionalFormatting sqref="E17">
    <cfRule type="cellIs" dxfId="631" priority="23" stopIfTrue="1" operator="lessThan">
      <formula>100</formula>
    </cfRule>
  </conditionalFormatting>
  <conditionalFormatting sqref="E16">
    <cfRule type="cellIs" dxfId="630" priority="22" stopIfTrue="1" operator="lessThan">
      <formula>100</formula>
    </cfRule>
  </conditionalFormatting>
  <conditionalFormatting sqref="E18">
    <cfRule type="cellIs" dxfId="629" priority="21" stopIfTrue="1" operator="lessThan">
      <formula>100</formula>
    </cfRule>
  </conditionalFormatting>
  <conditionalFormatting sqref="D17">
    <cfRule type="cellIs" dxfId="628" priority="20" stopIfTrue="1" operator="lessThan">
      <formula>100</formula>
    </cfRule>
  </conditionalFormatting>
  <conditionalFormatting sqref="D16">
    <cfRule type="cellIs" dxfId="627" priority="19" stopIfTrue="1" operator="lessThan">
      <formula>100</formula>
    </cfRule>
  </conditionalFormatting>
  <conditionalFormatting sqref="D18">
    <cfRule type="cellIs" dxfId="626" priority="18" stopIfTrue="1" operator="lessThan">
      <formula>100</formula>
    </cfRule>
  </conditionalFormatting>
  <conditionalFormatting sqref="H17:I17">
    <cfRule type="cellIs" dxfId="625" priority="17" stopIfTrue="1" operator="lessThan">
      <formula>100</formula>
    </cfRule>
  </conditionalFormatting>
  <conditionalFormatting sqref="G17:G18">
    <cfRule type="cellIs" dxfId="624" priority="16" stopIfTrue="1" operator="lessThan">
      <formula>100</formula>
    </cfRule>
  </conditionalFormatting>
  <conditionalFormatting sqref="Z16">
    <cfRule type="cellIs" dxfId="623" priority="15" stopIfTrue="1" operator="lessThan">
      <formula>100</formula>
    </cfRule>
  </conditionalFormatting>
  <conditionalFormatting sqref="Z18">
    <cfRule type="cellIs" dxfId="622" priority="14" stopIfTrue="1" operator="lessThan">
      <formula>100</formula>
    </cfRule>
  </conditionalFormatting>
  <conditionalFormatting sqref="AA18">
    <cfRule type="cellIs" dxfId="621" priority="13" stopIfTrue="1" operator="lessThan">
      <formula>100</formula>
    </cfRule>
  </conditionalFormatting>
  <conditionalFormatting sqref="AA16">
    <cfRule type="cellIs" dxfId="620" priority="12" stopIfTrue="1" operator="lessThan">
      <formula>100</formula>
    </cfRule>
  </conditionalFormatting>
  <conditionalFormatting sqref="R17 V17:AA17">
    <cfRule type="cellIs" dxfId="619" priority="11" stopIfTrue="1" operator="lessThan">
      <formula>100</formula>
    </cfRule>
  </conditionalFormatting>
  <conditionalFormatting sqref="R16:Y16">
    <cfRule type="cellIs" dxfId="618" priority="10" stopIfTrue="1" operator="lessThan">
      <formula>100</formula>
    </cfRule>
  </conditionalFormatting>
  <conditionalFormatting sqref="R18 T18:Y18">
    <cfRule type="cellIs" dxfId="617" priority="9" stopIfTrue="1" operator="lessThan">
      <formula>100</formula>
    </cfRule>
  </conditionalFormatting>
  <conditionalFormatting sqref="Q17">
    <cfRule type="cellIs" dxfId="616" priority="8" stopIfTrue="1" operator="lessThan">
      <formula>100</formula>
    </cfRule>
  </conditionalFormatting>
  <conditionalFormatting sqref="Q16">
    <cfRule type="cellIs" dxfId="615" priority="7" stopIfTrue="1" operator="lessThan">
      <formula>100</formula>
    </cfRule>
  </conditionalFormatting>
  <conditionalFormatting sqref="Q18">
    <cfRule type="cellIs" dxfId="614" priority="6" stopIfTrue="1" operator="lessThan">
      <formula>100</formula>
    </cfRule>
  </conditionalFormatting>
  <conditionalFormatting sqref="P17">
    <cfRule type="cellIs" dxfId="613" priority="5" stopIfTrue="1" operator="lessThan">
      <formula>100</formula>
    </cfRule>
  </conditionalFormatting>
  <conditionalFormatting sqref="P16">
    <cfRule type="cellIs" dxfId="612" priority="4" stopIfTrue="1" operator="lessThan">
      <formula>100</formula>
    </cfRule>
  </conditionalFormatting>
  <conditionalFormatting sqref="P18">
    <cfRule type="cellIs" dxfId="611" priority="3" stopIfTrue="1" operator="lessThan">
      <formula>100</formula>
    </cfRule>
  </conditionalFormatting>
  <conditionalFormatting sqref="T17:U17">
    <cfRule type="cellIs" dxfId="610" priority="2" stopIfTrue="1" operator="lessThan">
      <formula>100</formula>
    </cfRule>
  </conditionalFormatting>
  <conditionalFormatting sqref="S17:S18">
    <cfRule type="cellIs" dxfId="609" priority="1" stopIfTrue="1" operator="lessThan">
      <formula>100</formula>
    </cfRule>
  </conditionalFormatting>
  <printOptions horizontalCentered="1" verticalCentered="1"/>
  <pageMargins left="0" right="0" top="0" bottom="0" header="0" footer="0"/>
  <pageSetup paperSize="9" scale="45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1E40-D305-4B8B-83E1-61DCB2EA752A}">
  <sheetPr>
    <tabColor rgb="FFFFCCFF"/>
  </sheetPr>
  <dimension ref="A1:AS58"/>
  <sheetViews>
    <sheetView showGridLines="0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256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258</v>
      </c>
      <c r="D4" s="466"/>
      <c r="E4" s="466"/>
      <c r="F4" s="466"/>
      <c r="G4" s="466"/>
      <c r="H4" s="503" t="s">
        <v>8</v>
      </c>
      <c r="I4" s="466" t="s">
        <v>259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0.95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0.95000000000000007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5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1</v>
      </c>
      <c r="O33" s="255">
        <f>N33*5</f>
        <v>5</v>
      </c>
      <c r="P33" s="395"/>
      <c r="Q33" s="396"/>
      <c r="S33" s="269" t="s">
        <v>71</v>
      </c>
      <c r="T33" s="267">
        <v>5</v>
      </c>
      <c r="U33" s="272">
        <v>5</v>
      </c>
      <c r="V33" s="272">
        <v>5</v>
      </c>
      <c r="W33" s="272">
        <v>5</v>
      </c>
      <c r="X33" s="272">
        <v>5</v>
      </c>
      <c r="Y33" s="272">
        <v>5</v>
      </c>
      <c r="Z33" s="272">
        <v>5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0.95</v>
      </c>
      <c r="U34" s="270">
        <f>IF(ISBLANK(U31),"-",(U31+U32+U33)/(IF(U32&gt;0,100,60)))</f>
        <v>0.95</v>
      </c>
      <c r="V34" s="270">
        <f t="shared" ref="V34:AE34" si="1">IF(ISBLANK(V31),"-",(V31+V32+V33)/(IF(V32&gt;0,100,60)))</f>
        <v>0.95</v>
      </c>
      <c r="W34" s="270">
        <f t="shared" si="1"/>
        <v>0.95</v>
      </c>
      <c r="X34" s="270">
        <f t="shared" si="1"/>
        <v>0.95</v>
      </c>
      <c r="Y34" s="270">
        <f t="shared" si="1"/>
        <v>0.95</v>
      </c>
      <c r="Z34" s="270">
        <f t="shared" si="1"/>
        <v>0.95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95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 thickBo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 thickBo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608" priority="23" operator="greaterThan">
      <formula>0</formula>
    </cfRule>
  </conditionalFormatting>
  <conditionalFormatting sqref="I4">
    <cfRule type="cellIs" dxfId="607" priority="22" stopIfTrue="1" operator="equal">
      <formula>""</formula>
    </cfRule>
  </conditionalFormatting>
  <conditionalFormatting sqref="C3">
    <cfRule type="cellIs" dxfId="606" priority="21" stopIfTrue="1" operator="equal">
      <formula>""</formula>
    </cfRule>
  </conditionalFormatting>
  <conditionalFormatting sqref="C4">
    <cfRule type="cellIs" dxfId="605" priority="20" stopIfTrue="1" operator="equal">
      <formula>""</formula>
    </cfRule>
  </conditionalFormatting>
  <conditionalFormatting sqref="O34">
    <cfRule type="cellIs" dxfId="604" priority="19" operator="greaterThan">
      <formula>0</formula>
    </cfRule>
  </conditionalFormatting>
  <conditionalFormatting sqref="O32:O33">
    <cfRule type="cellIs" dxfId="603" priority="18" operator="greaterThan">
      <formula>0</formula>
    </cfRule>
  </conditionalFormatting>
  <conditionalFormatting sqref="AG9">
    <cfRule type="notContainsBlanks" dxfId="602" priority="17">
      <formula>LEN(TRIM(AG9))&gt;0</formula>
    </cfRule>
  </conditionalFormatting>
  <conditionalFormatting sqref="N10">
    <cfRule type="cellIs" dxfId="601" priority="16" stopIfTrue="1" operator="equal">
      <formula>""</formula>
    </cfRule>
  </conditionalFormatting>
  <conditionalFormatting sqref="N11:N18">
    <cfRule type="cellIs" dxfId="600" priority="15" stopIfTrue="1" operator="equal">
      <formula>""</formula>
    </cfRule>
  </conditionalFormatting>
  <conditionalFormatting sqref="N20">
    <cfRule type="cellIs" dxfId="599" priority="14" stopIfTrue="1" operator="equal">
      <formula>""</formula>
    </cfRule>
  </conditionalFormatting>
  <conditionalFormatting sqref="N21">
    <cfRule type="cellIs" dxfId="598" priority="13" stopIfTrue="1" operator="equal">
      <formula>""</formula>
    </cfRule>
  </conditionalFormatting>
  <conditionalFormatting sqref="N22">
    <cfRule type="cellIs" dxfId="597" priority="12" stopIfTrue="1" operator="equal">
      <formula>""</formula>
    </cfRule>
  </conditionalFormatting>
  <conditionalFormatting sqref="N32">
    <cfRule type="cellIs" dxfId="596" priority="11" stopIfTrue="1" operator="equal">
      <formula>""</formula>
    </cfRule>
  </conditionalFormatting>
  <conditionalFormatting sqref="N33">
    <cfRule type="cellIs" dxfId="595" priority="10" stopIfTrue="1" operator="equal">
      <formula>""</formula>
    </cfRule>
  </conditionalFormatting>
  <conditionalFormatting sqref="N34">
    <cfRule type="cellIs" dxfId="594" priority="9" stopIfTrue="1" operator="equal">
      <formula>""</formula>
    </cfRule>
  </conditionalFormatting>
  <conditionalFormatting sqref="T31:AE31">
    <cfRule type="cellIs" dxfId="593" priority="8" stopIfTrue="1" operator="equal">
      <formula>""</formula>
    </cfRule>
  </conditionalFormatting>
  <conditionalFormatting sqref="T32:AE32">
    <cfRule type="cellIs" dxfId="592" priority="7" stopIfTrue="1" operator="equal">
      <formula>""</formula>
    </cfRule>
  </conditionalFormatting>
  <conditionalFormatting sqref="T33:AE33">
    <cfRule type="cellIs" dxfId="591" priority="6" stopIfTrue="1" operator="equal">
      <formula>""</formula>
    </cfRule>
  </conditionalFormatting>
  <conditionalFormatting sqref="N24:N30">
    <cfRule type="cellIs" dxfId="590" priority="5" stopIfTrue="1" operator="equal">
      <formula>""</formula>
    </cfRule>
  </conditionalFormatting>
  <conditionalFormatting sqref="T4">
    <cfRule type="cellIs" dxfId="589" priority="1" stopIfTrue="1" operator="equal">
      <formula>""</formula>
    </cfRule>
  </conditionalFormatting>
  <dataValidations count="1">
    <dataValidation type="list" allowBlank="1" showInputMessage="1" showErrorMessage="1" sqref="S4:S5" xr:uid="{D274C0B1-158D-4592-AD2A-B2C6E954C6A0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0A05-6B73-4644-82DF-A9C015D34637}">
  <sheetPr>
    <tabColor rgb="FFFF0000"/>
  </sheetPr>
  <dimension ref="A1:AS58"/>
  <sheetViews>
    <sheetView showGridLines="0" topLeftCell="A33" zoomScale="85" zoomScaleNormal="85" workbookViewId="0">
      <selection activeCell="AH50" sqref="AH50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260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261</v>
      </c>
      <c r="D4" s="466"/>
      <c r="E4" s="466"/>
      <c r="F4" s="466"/>
      <c r="G4" s="466"/>
      <c r="H4" s="503" t="s">
        <v>8</v>
      </c>
      <c r="I4" s="466" t="s">
        <v>262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0.87476190476190474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0</v>
      </c>
      <c r="U32" s="272">
        <v>40</v>
      </c>
      <c r="V32" s="272">
        <v>40</v>
      </c>
      <c r="W32" s="272">
        <v>0</v>
      </c>
      <c r="X32" s="272">
        <v>40</v>
      </c>
      <c r="Y32" s="272">
        <v>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0</v>
      </c>
      <c r="U33" s="272">
        <v>2</v>
      </c>
      <c r="V33" s="272">
        <v>5</v>
      </c>
      <c r="W33" s="272">
        <v>0</v>
      </c>
      <c r="X33" s="272">
        <v>2</v>
      </c>
      <c r="Y33" s="272">
        <v>0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0.83333333333333337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0.95</v>
      </c>
      <c r="W34" s="270">
        <f t="shared" si="1"/>
        <v>0.83333333333333337</v>
      </c>
      <c r="X34" s="270">
        <f t="shared" si="1"/>
        <v>0.92</v>
      </c>
      <c r="Y34" s="270">
        <f t="shared" si="1"/>
        <v>0.83333333333333337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562" t="s">
        <v>263</v>
      </c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62"/>
      <c r="AB40" s="562"/>
      <c r="AC40" s="562"/>
      <c r="AD40" s="562"/>
      <c r="AE40" s="563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588" priority="28" operator="greaterThan">
      <formula>0</formula>
    </cfRule>
  </conditionalFormatting>
  <conditionalFormatting sqref="O34">
    <cfRule type="cellIs" dxfId="587" priority="24" operator="greaterThan">
      <formula>0</formula>
    </cfRule>
  </conditionalFormatting>
  <conditionalFormatting sqref="O32:O33">
    <cfRule type="cellIs" dxfId="586" priority="23" operator="greaterThan">
      <formula>0</formula>
    </cfRule>
  </conditionalFormatting>
  <conditionalFormatting sqref="AG9">
    <cfRule type="notContainsBlanks" dxfId="585" priority="22">
      <formula>LEN(TRIM(AG9))&gt;0</formula>
    </cfRule>
  </conditionalFormatting>
  <conditionalFormatting sqref="N10">
    <cfRule type="cellIs" dxfId="584" priority="21" stopIfTrue="1" operator="equal">
      <formula>""</formula>
    </cfRule>
  </conditionalFormatting>
  <conditionalFormatting sqref="N11:N18">
    <cfRule type="cellIs" dxfId="583" priority="20" stopIfTrue="1" operator="equal">
      <formula>""</formula>
    </cfRule>
  </conditionalFormatting>
  <conditionalFormatting sqref="N20">
    <cfRule type="cellIs" dxfId="582" priority="19" stopIfTrue="1" operator="equal">
      <formula>""</formula>
    </cfRule>
  </conditionalFormatting>
  <conditionalFormatting sqref="N21">
    <cfRule type="cellIs" dxfId="581" priority="18" stopIfTrue="1" operator="equal">
      <formula>""</formula>
    </cfRule>
  </conditionalFormatting>
  <conditionalFormatting sqref="N22">
    <cfRule type="cellIs" dxfId="580" priority="17" stopIfTrue="1" operator="equal">
      <formula>""</formula>
    </cfRule>
  </conditionalFormatting>
  <conditionalFormatting sqref="N32">
    <cfRule type="cellIs" dxfId="579" priority="16" stopIfTrue="1" operator="equal">
      <formula>""</formula>
    </cfRule>
  </conditionalFormatting>
  <conditionalFormatting sqref="N33">
    <cfRule type="cellIs" dxfId="578" priority="15" stopIfTrue="1" operator="equal">
      <formula>""</formula>
    </cfRule>
  </conditionalFormatting>
  <conditionalFormatting sqref="N34">
    <cfRule type="cellIs" dxfId="577" priority="14" stopIfTrue="1" operator="equal">
      <formula>""</formula>
    </cfRule>
  </conditionalFormatting>
  <conditionalFormatting sqref="T31:AE31">
    <cfRule type="cellIs" dxfId="576" priority="13" stopIfTrue="1" operator="equal">
      <formula>""</formula>
    </cfRule>
  </conditionalFormatting>
  <conditionalFormatting sqref="T32:AE32">
    <cfRule type="cellIs" dxfId="575" priority="12" stopIfTrue="1" operator="equal">
      <formula>""</formula>
    </cfRule>
  </conditionalFormatting>
  <conditionalFormatting sqref="T33:AE33">
    <cfRule type="cellIs" dxfId="574" priority="11" stopIfTrue="1" operator="equal">
      <formula>""</formula>
    </cfRule>
  </conditionalFormatting>
  <conditionalFormatting sqref="N24:N30">
    <cfRule type="cellIs" dxfId="573" priority="10" stopIfTrue="1" operator="equal">
      <formula>""</formula>
    </cfRule>
  </conditionalFormatting>
  <conditionalFormatting sqref="C3">
    <cfRule type="cellIs" dxfId="572" priority="8" stopIfTrue="1" operator="equal">
      <formula>""</formula>
    </cfRule>
  </conditionalFormatting>
  <conditionalFormatting sqref="C4">
    <cfRule type="cellIs" dxfId="571" priority="7" stopIfTrue="1" operator="equal">
      <formula>""</formula>
    </cfRule>
  </conditionalFormatting>
  <conditionalFormatting sqref="I4">
    <cfRule type="cellIs" dxfId="570" priority="6" stopIfTrue="1" operator="equal">
      <formula>""</formula>
    </cfRule>
  </conditionalFormatting>
  <conditionalFormatting sqref="T4">
    <cfRule type="cellIs" dxfId="569" priority="1" stopIfTrue="1" operator="equal">
      <formula>""</formula>
    </cfRule>
  </conditionalFormatting>
  <dataValidations count="1">
    <dataValidation type="list" allowBlank="1" showInputMessage="1" showErrorMessage="1" sqref="S4:S5" xr:uid="{C07454DE-B561-4A00-B98D-CE5EDF42AFE5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E6A3-B798-4558-8D17-AFE47E94D95B}">
  <sheetPr>
    <tabColor rgb="FFFFCCFF"/>
  </sheetPr>
  <dimension ref="A1:AS58"/>
  <sheetViews>
    <sheetView showGridLines="0" topLeftCell="A29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264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265</v>
      </c>
      <c r="D4" s="466"/>
      <c r="E4" s="466"/>
      <c r="F4" s="466"/>
      <c r="G4" s="466"/>
      <c r="H4" s="503" t="s">
        <v>8</v>
      </c>
      <c r="I4" s="466" t="s">
        <v>266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0.90095238095238095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0</v>
      </c>
      <c r="V32" s="272">
        <v>0</v>
      </c>
      <c r="W32" s="272">
        <v>38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0</v>
      </c>
      <c r="W33" s="272">
        <v>5</v>
      </c>
      <c r="X33" s="272">
        <v>5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0.83333333333333337</v>
      </c>
      <c r="W34" s="270">
        <f t="shared" si="1"/>
        <v>0.93</v>
      </c>
      <c r="X34" s="280">
        <f t="shared" si="1"/>
        <v>0.95</v>
      </c>
      <c r="Y34" s="270">
        <f t="shared" si="1"/>
        <v>0.92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62"/>
      <c r="AB40" s="562"/>
      <c r="AC40" s="562"/>
      <c r="AD40" s="562"/>
      <c r="AE40" s="563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568" priority="26" operator="greaterThan">
      <formula>0</formula>
    </cfRule>
  </conditionalFormatting>
  <conditionalFormatting sqref="I4">
    <cfRule type="cellIs" dxfId="567" priority="25" stopIfTrue="1" operator="equal">
      <formula>""</formula>
    </cfRule>
  </conditionalFormatting>
  <conditionalFormatting sqref="C3">
    <cfRule type="cellIs" dxfId="566" priority="24" stopIfTrue="1" operator="equal">
      <formula>""</formula>
    </cfRule>
  </conditionalFormatting>
  <conditionalFormatting sqref="C4">
    <cfRule type="cellIs" dxfId="565" priority="23" stopIfTrue="1" operator="equal">
      <formula>""</formula>
    </cfRule>
  </conditionalFormatting>
  <conditionalFormatting sqref="O34">
    <cfRule type="cellIs" dxfId="564" priority="22" operator="greaterThan">
      <formula>0</formula>
    </cfRule>
  </conditionalFormatting>
  <conditionalFormatting sqref="O32:O33">
    <cfRule type="cellIs" dxfId="563" priority="21" operator="greaterThan">
      <formula>0</formula>
    </cfRule>
  </conditionalFormatting>
  <conditionalFormatting sqref="AG9">
    <cfRule type="notContainsBlanks" dxfId="562" priority="20">
      <formula>LEN(TRIM(AG9))&gt;0</formula>
    </cfRule>
  </conditionalFormatting>
  <conditionalFormatting sqref="N10">
    <cfRule type="cellIs" dxfId="561" priority="19" stopIfTrue="1" operator="equal">
      <formula>""</formula>
    </cfRule>
  </conditionalFormatting>
  <conditionalFormatting sqref="N11:N18">
    <cfRule type="cellIs" dxfId="560" priority="18" stopIfTrue="1" operator="equal">
      <formula>""</formula>
    </cfRule>
  </conditionalFormatting>
  <conditionalFormatting sqref="N20">
    <cfRule type="cellIs" dxfId="559" priority="17" stopIfTrue="1" operator="equal">
      <formula>""</formula>
    </cfRule>
  </conditionalFormatting>
  <conditionalFormatting sqref="N21">
    <cfRule type="cellIs" dxfId="558" priority="16" stopIfTrue="1" operator="equal">
      <formula>""</formula>
    </cfRule>
  </conditionalFormatting>
  <conditionalFormatting sqref="N22">
    <cfRule type="cellIs" dxfId="557" priority="15" stopIfTrue="1" operator="equal">
      <formula>""</formula>
    </cfRule>
  </conditionalFormatting>
  <conditionalFormatting sqref="N32">
    <cfRule type="cellIs" dxfId="556" priority="14" stopIfTrue="1" operator="equal">
      <formula>""</formula>
    </cfRule>
  </conditionalFormatting>
  <conditionalFormatting sqref="N33">
    <cfRule type="cellIs" dxfId="555" priority="13" stopIfTrue="1" operator="equal">
      <formula>""</formula>
    </cfRule>
  </conditionalFormatting>
  <conditionalFormatting sqref="N34">
    <cfRule type="cellIs" dxfId="554" priority="12" stopIfTrue="1" operator="equal">
      <formula>""</formula>
    </cfRule>
  </conditionalFormatting>
  <conditionalFormatting sqref="T31:AE31">
    <cfRule type="cellIs" dxfId="553" priority="11" stopIfTrue="1" operator="equal">
      <formula>""</formula>
    </cfRule>
  </conditionalFormatting>
  <conditionalFormatting sqref="T32:AE32">
    <cfRule type="cellIs" dxfId="552" priority="10" stopIfTrue="1" operator="equal">
      <formula>""</formula>
    </cfRule>
  </conditionalFormatting>
  <conditionalFormatting sqref="T33:AE33">
    <cfRule type="cellIs" dxfId="551" priority="9" stopIfTrue="1" operator="equal">
      <formula>""</formula>
    </cfRule>
  </conditionalFormatting>
  <conditionalFormatting sqref="N24:N30">
    <cfRule type="cellIs" dxfId="550" priority="8" stopIfTrue="1" operator="equal">
      <formula>""</formula>
    </cfRule>
  </conditionalFormatting>
  <conditionalFormatting sqref="T4">
    <cfRule type="cellIs" dxfId="549" priority="1" stopIfTrue="1" operator="equal">
      <formula>""</formula>
    </cfRule>
  </conditionalFormatting>
  <dataValidations count="1">
    <dataValidation type="list" allowBlank="1" showInputMessage="1" showErrorMessage="1" sqref="S4:S5" xr:uid="{10ECE0B5-9029-49CD-A019-0F58757402FC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CB13-8D5C-4200-8813-430A4C89CBD0}">
  <sheetPr>
    <tabColor rgb="FFFF0000"/>
  </sheetPr>
  <dimension ref="A1:AS58"/>
  <sheetViews>
    <sheetView showGridLines="0" topLeftCell="A33" zoomScale="85" zoomScaleNormal="85" workbookViewId="0">
      <selection activeCell="V59" sqref="V59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267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268</v>
      </c>
      <c r="D4" s="466"/>
      <c r="E4" s="466"/>
      <c r="F4" s="466"/>
      <c r="G4" s="466"/>
      <c r="H4" s="503" t="s">
        <v>8</v>
      </c>
      <c r="I4" s="466" t="s">
        <v>269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0.96904761904761905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0</v>
      </c>
      <c r="AA32" s="272"/>
      <c r="AB32" s="272"/>
      <c r="AC32" s="272"/>
      <c r="AD32" s="272"/>
      <c r="AE32" s="272"/>
    </row>
    <row r="33" spans="1:39" ht="17.25" customHeigh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10</v>
      </c>
      <c r="U33" s="272">
        <v>10</v>
      </c>
      <c r="V33" s="272">
        <v>10</v>
      </c>
      <c r="W33" s="272">
        <v>10</v>
      </c>
      <c r="X33" s="272">
        <v>10</v>
      </c>
      <c r="Y33" s="272">
        <v>5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1</v>
      </c>
      <c r="U34" s="270">
        <f>IF(ISBLANK(U31),"-",(U31+U32+U33)/(IF(U32&gt;0,100,60)))</f>
        <v>1</v>
      </c>
      <c r="V34" s="270">
        <f t="shared" ref="V34:AE34" si="1">IF(ISBLANK(V31),"-",(V31+V32+V33)/(IF(V32&gt;0,100,60)))</f>
        <v>1</v>
      </c>
      <c r="W34" s="270">
        <f t="shared" si="1"/>
        <v>1</v>
      </c>
      <c r="X34" s="270">
        <f t="shared" si="1"/>
        <v>1</v>
      </c>
      <c r="Y34" s="270">
        <f t="shared" si="1"/>
        <v>0.95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A</v>
      </c>
      <c r="U35" s="15" t="str">
        <f t="shared" ref="U35:AD35" si="2">IF(U34="-","-",IF(U34=1,"A",IF(U34&gt;=0.8,"B",IF(U34&gt;=0.7,"C",IF(U34&lt;0.7,"D")))))</f>
        <v>A</v>
      </c>
      <c r="V35" s="15" t="str">
        <f t="shared" si="2"/>
        <v>A</v>
      </c>
      <c r="W35" s="15" t="str">
        <f t="shared" si="2"/>
        <v>A</v>
      </c>
      <c r="X35" s="15" t="str">
        <f t="shared" si="2"/>
        <v>A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548" priority="25" operator="greaterThan">
      <formula>0</formula>
    </cfRule>
  </conditionalFormatting>
  <conditionalFormatting sqref="I4">
    <cfRule type="cellIs" dxfId="547" priority="24" stopIfTrue="1" operator="equal">
      <formula>""</formula>
    </cfRule>
  </conditionalFormatting>
  <conditionalFormatting sqref="C3">
    <cfRule type="cellIs" dxfId="546" priority="23" stopIfTrue="1" operator="equal">
      <formula>""</formula>
    </cfRule>
  </conditionalFormatting>
  <conditionalFormatting sqref="C4">
    <cfRule type="cellIs" dxfId="545" priority="22" stopIfTrue="1" operator="equal">
      <formula>""</formula>
    </cfRule>
  </conditionalFormatting>
  <conditionalFormatting sqref="O34">
    <cfRule type="cellIs" dxfId="544" priority="21" operator="greaterThan">
      <formula>0</formula>
    </cfRule>
  </conditionalFormatting>
  <conditionalFormatting sqref="O32:O33">
    <cfRule type="cellIs" dxfId="543" priority="20" operator="greaterThan">
      <formula>0</formula>
    </cfRule>
  </conditionalFormatting>
  <conditionalFormatting sqref="AG9">
    <cfRule type="notContainsBlanks" dxfId="542" priority="19">
      <formula>LEN(TRIM(AG9))&gt;0</formula>
    </cfRule>
  </conditionalFormatting>
  <conditionalFormatting sqref="N10">
    <cfRule type="cellIs" dxfId="541" priority="18" stopIfTrue="1" operator="equal">
      <formula>""</formula>
    </cfRule>
  </conditionalFormatting>
  <conditionalFormatting sqref="N11:N18">
    <cfRule type="cellIs" dxfId="540" priority="17" stopIfTrue="1" operator="equal">
      <formula>""</formula>
    </cfRule>
  </conditionalFormatting>
  <conditionalFormatting sqref="N20">
    <cfRule type="cellIs" dxfId="539" priority="16" stopIfTrue="1" operator="equal">
      <formula>""</formula>
    </cfRule>
  </conditionalFormatting>
  <conditionalFormatting sqref="N21">
    <cfRule type="cellIs" dxfId="538" priority="15" stopIfTrue="1" operator="equal">
      <formula>""</formula>
    </cfRule>
  </conditionalFormatting>
  <conditionalFormatting sqref="N22">
    <cfRule type="cellIs" dxfId="537" priority="14" stopIfTrue="1" operator="equal">
      <formula>""</formula>
    </cfRule>
  </conditionalFormatting>
  <conditionalFormatting sqref="N32">
    <cfRule type="cellIs" dxfId="536" priority="13" stopIfTrue="1" operator="equal">
      <formula>""</formula>
    </cfRule>
  </conditionalFormatting>
  <conditionalFormatting sqref="N33">
    <cfRule type="cellIs" dxfId="535" priority="12" stopIfTrue="1" operator="equal">
      <formula>""</formula>
    </cfRule>
  </conditionalFormatting>
  <conditionalFormatting sqref="N34">
    <cfRule type="cellIs" dxfId="534" priority="11" stopIfTrue="1" operator="equal">
      <formula>""</formula>
    </cfRule>
  </conditionalFormatting>
  <conditionalFormatting sqref="T31:AE31">
    <cfRule type="cellIs" dxfId="533" priority="10" stopIfTrue="1" operator="equal">
      <formula>""</formula>
    </cfRule>
  </conditionalFormatting>
  <conditionalFormatting sqref="T32:AE32">
    <cfRule type="cellIs" dxfId="532" priority="9" stopIfTrue="1" operator="equal">
      <formula>""</formula>
    </cfRule>
  </conditionalFormatting>
  <conditionalFormatting sqref="T33:AE33">
    <cfRule type="cellIs" dxfId="531" priority="8" stopIfTrue="1" operator="equal">
      <formula>""</formula>
    </cfRule>
  </conditionalFormatting>
  <conditionalFormatting sqref="N24:N30">
    <cfRule type="cellIs" dxfId="530" priority="7" stopIfTrue="1" operator="equal">
      <formula>""</formula>
    </cfRule>
  </conditionalFormatting>
  <conditionalFormatting sqref="T4">
    <cfRule type="cellIs" dxfId="529" priority="1" stopIfTrue="1" operator="equal">
      <formula>""</formula>
    </cfRule>
  </conditionalFormatting>
  <dataValidations count="1">
    <dataValidation type="list" allowBlank="1" showInputMessage="1" showErrorMessage="1" sqref="S4:S5" xr:uid="{933911F5-17BC-4E3E-8FF5-0C8BB7E19F59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A98A-A2D6-4A51-B4AE-068FBC744CD5}">
  <sheetPr>
    <tabColor rgb="FFFF0000"/>
  </sheetPr>
  <dimension ref="A1:AS58"/>
  <sheetViews>
    <sheetView showGridLines="0" topLeftCell="A33" zoomScale="85" zoomScaleNormal="85" workbookViewId="0">
      <selection activeCell="AG49" sqref="AG49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270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271</v>
      </c>
      <c r="D4" s="466"/>
      <c r="E4" s="466"/>
      <c r="F4" s="466"/>
      <c r="G4" s="466"/>
      <c r="H4" s="503" t="s">
        <v>8</v>
      </c>
      <c r="I4" s="466" t="s">
        <v>272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0.90380952380952384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0</v>
      </c>
      <c r="X32" s="272">
        <v>40</v>
      </c>
      <c r="Y32" s="272">
        <v>40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5</v>
      </c>
      <c r="U33" s="272">
        <v>2</v>
      </c>
      <c r="V33" s="272">
        <v>2</v>
      </c>
      <c r="W33" s="272">
        <v>0</v>
      </c>
      <c r="X33" s="272">
        <v>2</v>
      </c>
      <c r="Y33" s="272">
        <v>5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0.95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0.92</v>
      </c>
      <c r="W34" s="270">
        <f t="shared" si="1"/>
        <v>0.83333333333333337</v>
      </c>
      <c r="X34" s="270">
        <f t="shared" si="1"/>
        <v>0.92</v>
      </c>
      <c r="Y34" s="270">
        <f t="shared" si="1"/>
        <v>0.95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528" priority="26" operator="greaterThan">
      <formula>0</formula>
    </cfRule>
  </conditionalFormatting>
  <conditionalFormatting sqref="I4">
    <cfRule type="cellIs" dxfId="527" priority="25" stopIfTrue="1" operator="equal">
      <formula>""</formula>
    </cfRule>
  </conditionalFormatting>
  <conditionalFormatting sqref="C3">
    <cfRule type="cellIs" dxfId="526" priority="24" stopIfTrue="1" operator="equal">
      <formula>""</formula>
    </cfRule>
  </conditionalFormatting>
  <conditionalFormatting sqref="C4">
    <cfRule type="cellIs" dxfId="525" priority="23" stopIfTrue="1" operator="equal">
      <formula>""</formula>
    </cfRule>
  </conditionalFormatting>
  <conditionalFormatting sqref="O34">
    <cfRule type="cellIs" dxfId="524" priority="22" operator="greaterThan">
      <formula>0</formula>
    </cfRule>
  </conditionalFormatting>
  <conditionalFormatting sqref="O32:O33">
    <cfRule type="cellIs" dxfId="523" priority="21" operator="greaterThan">
      <formula>0</formula>
    </cfRule>
  </conditionalFormatting>
  <conditionalFormatting sqref="AG9">
    <cfRule type="notContainsBlanks" dxfId="522" priority="20">
      <formula>LEN(TRIM(AG9))&gt;0</formula>
    </cfRule>
  </conditionalFormatting>
  <conditionalFormatting sqref="N10">
    <cfRule type="cellIs" dxfId="521" priority="19" stopIfTrue="1" operator="equal">
      <formula>""</formula>
    </cfRule>
  </conditionalFormatting>
  <conditionalFormatting sqref="N11:N18">
    <cfRule type="cellIs" dxfId="520" priority="18" stopIfTrue="1" operator="equal">
      <formula>""</formula>
    </cfRule>
  </conditionalFormatting>
  <conditionalFormatting sqref="N20">
    <cfRule type="cellIs" dxfId="519" priority="17" stopIfTrue="1" operator="equal">
      <formula>""</formula>
    </cfRule>
  </conditionalFormatting>
  <conditionalFormatting sqref="N21">
    <cfRule type="cellIs" dxfId="518" priority="16" stopIfTrue="1" operator="equal">
      <formula>""</formula>
    </cfRule>
  </conditionalFormatting>
  <conditionalFormatting sqref="N22">
    <cfRule type="cellIs" dxfId="517" priority="15" stopIfTrue="1" operator="equal">
      <formula>""</formula>
    </cfRule>
  </conditionalFormatting>
  <conditionalFormatting sqref="N32">
    <cfRule type="cellIs" dxfId="516" priority="14" stopIfTrue="1" operator="equal">
      <formula>""</formula>
    </cfRule>
  </conditionalFormatting>
  <conditionalFormatting sqref="N33">
    <cfRule type="cellIs" dxfId="515" priority="13" stopIfTrue="1" operator="equal">
      <formula>""</formula>
    </cfRule>
  </conditionalFormatting>
  <conditionalFormatting sqref="N34">
    <cfRule type="cellIs" dxfId="514" priority="12" stopIfTrue="1" operator="equal">
      <formula>""</formula>
    </cfRule>
  </conditionalFormatting>
  <conditionalFormatting sqref="T31:AE31">
    <cfRule type="cellIs" dxfId="513" priority="11" stopIfTrue="1" operator="equal">
      <formula>""</formula>
    </cfRule>
  </conditionalFormatting>
  <conditionalFormatting sqref="T32:AE32">
    <cfRule type="cellIs" dxfId="512" priority="10" stopIfTrue="1" operator="equal">
      <formula>""</formula>
    </cfRule>
  </conditionalFormatting>
  <conditionalFormatting sqref="T33:AE33">
    <cfRule type="cellIs" dxfId="511" priority="9" stopIfTrue="1" operator="equal">
      <formula>""</formula>
    </cfRule>
  </conditionalFormatting>
  <conditionalFormatting sqref="N24:N30">
    <cfRule type="cellIs" dxfId="510" priority="8" stopIfTrue="1" operator="equal">
      <formula>""</formula>
    </cfRule>
  </conditionalFormatting>
  <conditionalFormatting sqref="T4">
    <cfRule type="cellIs" dxfId="509" priority="1" stopIfTrue="1" operator="equal">
      <formula>""</formula>
    </cfRule>
  </conditionalFormatting>
  <dataValidations count="1">
    <dataValidation type="list" allowBlank="1" showInputMessage="1" showErrorMessage="1" sqref="S4:S5" xr:uid="{BA79D2B4-7E91-49EE-8B60-4F77E9D07CB7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D2FA-0E4F-44A2-BB62-6A567E71E852}">
  <sheetPr>
    <tabColor rgb="FFFFCCFF"/>
  </sheetPr>
  <dimension ref="A1:AS58"/>
  <sheetViews>
    <sheetView showGridLines="0" topLeftCell="A34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273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274</v>
      </c>
      <c r="D4" s="466"/>
      <c r="E4" s="466"/>
      <c r="F4" s="466"/>
      <c r="G4" s="466"/>
      <c r="H4" s="503" t="s">
        <v>8</v>
      </c>
      <c r="I4" s="466" t="s">
        <v>275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0.92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2</v>
      </c>
      <c r="W33" s="272">
        <v>2</v>
      </c>
      <c r="X33" s="272">
        <v>2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0.92</v>
      </c>
      <c r="W34" s="270">
        <f t="shared" si="1"/>
        <v>0.92</v>
      </c>
      <c r="X34" s="270">
        <f t="shared" si="1"/>
        <v>0.92</v>
      </c>
      <c r="Y34" s="270">
        <f t="shared" si="1"/>
        <v>0.92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508" priority="26" operator="greaterThan">
      <formula>0</formula>
    </cfRule>
  </conditionalFormatting>
  <conditionalFormatting sqref="O34">
    <cfRule type="cellIs" dxfId="507" priority="25" operator="greaterThan">
      <formula>0</formula>
    </cfRule>
  </conditionalFormatting>
  <conditionalFormatting sqref="O32:O33">
    <cfRule type="cellIs" dxfId="506" priority="24" operator="greaterThan">
      <formula>0</formula>
    </cfRule>
  </conditionalFormatting>
  <conditionalFormatting sqref="AG9">
    <cfRule type="notContainsBlanks" dxfId="505" priority="23">
      <formula>LEN(TRIM(AG9))&gt;0</formula>
    </cfRule>
  </conditionalFormatting>
  <conditionalFormatting sqref="N10">
    <cfRule type="cellIs" dxfId="504" priority="22" stopIfTrue="1" operator="equal">
      <formula>""</formula>
    </cfRule>
  </conditionalFormatting>
  <conditionalFormatting sqref="N11:N18">
    <cfRule type="cellIs" dxfId="503" priority="21" stopIfTrue="1" operator="equal">
      <formula>""</formula>
    </cfRule>
  </conditionalFormatting>
  <conditionalFormatting sqref="N20">
    <cfRule type="cellIs" dxfId="502" priority="20" stopIfTrue="1" operator="equal">
      <formula>""</formula>
    </cfRule>
  </conditionalFormatting>
  <conditionalFormatting sqref="N21">
    <cfRule type="cellIs" dxfId="501" priority="19" stopIfTrue="1" operator="equal">
      <formula>""</formula>
    </cfRule>
  </conditionalFormatting>
  <conditionalFormatting sqref="N22">
    <cfRule type="cellIs" dxfId="500" priority="18" stopIfTrue="1" operator="equal">
      <formula>""</formula>
    </cfRule>
  </conditionalFormatting>
  <conditionalFormatting sqref="N32">
    <cfRule type="cellIs" dxfId="499" priority="17" stopIfTrue="1" operator="equal">
      <formula>""</formula>
    </cfRule>
  </conditionalFormatting>
  <conditionalFormatting sqref="N33">
    <cfRule type="cellIs" dxfId="498" priority="16" stopIfTrue="1" operator="equal">
      <formula>""</formula>
    </cfRule>
  </conditionalFormatting>
  <conditionalFormatting sqref="N34">
    <cfRule type="cellIs" dxfId="497" priority="15" stopIfTrue="1" operator="equal">
      <formula>""</formula>
    </cfRule>
  </conditionalFormatting>
  <conditionalFormatting sqref="T31:AE31">
    <cfRule type="cellIs" dxfId="496" priority="14" stopIfTrue="1" operator="equal">
      <formula>""</formula>
    </cfRule>
  </conditionalFormatting>
  <conditionalFormatting sqref="T32:AE32">
    <cfRule type="cellIs" dxfId="495" priority="13" stopIfTrue="1" operator="equal">
      <formula>""</formula>
    </cfRule>
  </conditionalFormatting>
  <conditionalFormatting sqref="T33:AE33">
    <cfRule type="cellIs" dxfId="494" priority="12" stopIfTrue="1" operator="equal">
      <formula>""</formula>
    </cfRule>
  </conditionalFormatting>
  <conditionalFormatting sqref="N24:N30">
    <cfRule type="cellIs" dxfId="493" priority="11" stopIfTrue="1" operator="equal">
      <formula>""</formula>
    </cfRule>
  </conditionalFormatting>
  <conditionalFormatting sqref="C3">
    <cfRule type="cellIs" dxfId="492" priority="9" stopIfTrue="1" operator="equal">
      <formula>""</formula>
    </cfRule>
  </conditionalFormatting>
  <conditionalFormatting sqref="C4">
    <cfRule type="cellIs" dxfId="491" priority="8" stopIfTrue="1" operator="equal">
      <formula>""</formula>
    </cfRule>
  </conditionalFormatting>
  <conditionalFormatting sqref="I4">
    <cfRule type="cellIs" dxfId="490" priority="7" stopIfTrue="1" operator="equal">
      <formula>""</formula>
    </cfRule>
  </conditionalFormatting>
  <conditionalFormatting sqref="T4">
    <cfRule type="cellIs" dxfId="489" priority="1" stopIfTrue="1" operator="equal">
      <formula>""</formula>
    </cfRule>
  </conditionalFormatting>
  <dataValidations count="1">
    <dataValidation type="list" allowBlank="1" showInputMessage="1" showErrorMessage="1" sqref="S4:S5" xr:uid="{AF978B33-1235-4E1D-963C-BBC4ADE06E14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F6EC-63D5-4B43-AE87-64F92FF865FA}">
  <sheetPr>
    <tabColor rgb="FFFFCCFF"/>
  </sheetPr>
  <dimension ref="A1:AS58"/>
  <sheetViews>
    <sheetView showGridLines="0" topLeftCell="A33" zoomScale="85" zoomScaleNormal="85" workbookViewId="0">
      <selection activeCell="Y55" sqref="Y55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276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277</v>
      </c>
      <c r="D4" s="466"/>
      <c r="E4" s="466"/>
      <c r="F4" s="466"/>
      <c r="G4" s="466"/>
      <c r="H4" s="503" t="s">
        <v>8</v>
      </c>
      <c r="I4" s="466" t="s">
        <v>278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0.88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0.92142857142857149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36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1</v>
      </c>
      <c r="O18" s="257">
        <f>N18*4</f>
        <v>4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46</v>
      </c>
      <c r="V31" s="272">
        <v>50</v>
      </c>
      <c r="W31" s="272">
        <v>50</v>
      </c>
      <c r="X31" s="272">
        <v>50</v>
      </c>
      <c r="Y31" s="272">
        <v>50</v>
      </c>
      <c r="Z31" s="272">
        <v>46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5</v>
      </c>
      <c r="W33" s="272">
        <v>5</v>
      </c>
      <c r="X33" s="272">
        <v>5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0.88</v>
      </c>
      <c r="V34" s="270">
        <f t="shared" ref="V34:AE34" si="1">IF(ISBLANK(V31),"-",(V31+V32+V33)/(IF(V32&gt;0,100,60)))</f>
        <v>0.95</v>
      </c>
      <c r="W34" s="270">
        <f t="shared" si="1"/>
        <v>0.95</v>
      </c>
      <c r="X34" s="270">
        <f t="shared" si="1"/>
        <v>0.95</v>
      </c>
      <c r="Y34" s="270">
        <f t="shared" si="1"/>
        <v>0.92</v>
      </c>
      <c r="Z34" s="270">
        <f t="shared" si="1"/>
        <v>0.88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88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564" t="s">
        <v>279</v>
      </c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488" priority="26" operator="greaterThan">
      <formula>0</formula>
    </cfRule>
  </conditionalFormatting>
  <conditionalFormatting sqref="I4">
    <cfRule type="cellIs" dxfId="487" priority="25" stopIfTrue="1" operator="equal">
      <formula>""</formula>
    </cfRule>
  </conditionalFormatting>
  <conditionalFormatting sqref="C3">
    <cfRule type="cellIs" dxfId="486" priority="24" stopIfTrue="1" operator="equal">
      <formula>""</formula>
    </cfRule>
  </conditionalFormatting>
  <conditionalFormatting sqref="C4">
    <cfRule type="cellIs" dxfId="485" priority="23" stopIfTrue="1" operator="equal">
      <formula>""</formula>
    </cfRule>
  </conditionalFormatting>
  <conditionalFormatting sqref="O34">
    <cfRule type="cellIs" dxfId="484" priority="22" operator="greaterThan">
      <formula>0</formula>
    </cfRule>
  </conditionalFormatting>
  <conditionalFormatting sqref="O32:O33">
    <cfRule type="cellIs" dxfId="483" priority="21" operator="greaterThan">
      <formula>0</formula>
    </cfRule>
  </conditionalFormatting>
  <conditionalFormatting sqref="AG9">
    <cfRule type="notContainsBlanks" dxfId="482" priority="20">
      <formula>LEN(TRIM(AG9))&gt;0</formula>
    </cfRule>
  </conditionalFormatting>
  <conditionalFormatting sqref="N10">
    <cfRule type="cellIs" dxfId="481" priority="19" stopIfTrue="1" operator="equal">
      <formula>""</formula>
    </cfRule>
  </conditionalFormatting>
  <conditionalFormatting sqref="N11:N18">
    <cfRule type="cellIs" dxfId="480" priority="18" stopIfTrue="1" operator="equal">
      <formula>""</formula>
    </cfRule>
  </conditionalFormatting>
  <conditionalFormatting sqref="N20">
    <cfRule type="cellIs" dxfId="479" priority="17" stopIfTrue="1" operator="equal">
      <formula>""</formula>
    </cfRule>
  </conditionalFormatting>
  <conditionalFormatting sqref="N21">
    <cfRule type="cellIs" dxfId="478" priority="16" stopIfTrue="1" operator="equal">
      <formula>""</formula>
    </cfRule>
  </conditionalFormatting>
  <conditionalFormatting sqref="N22">
    <cfRule type="cellIs" dxfId="477" priority="15" stopIfTrue="1" operator="equal">
      <formula>""</formula>
    </cfRule>
  </conditionalFormatting>
  <conditionalFormatting sqref="N32">
    <cfRule type="cellIs" dxfId="476" priority="14" stopIfTrue="1" operator="equal">
      <formula>""</formula>
    </cfRule>
  </conditionalFormatting>
  <conditionalFormatting sqref="N33">
    <cfRule type="cellIs" dxfId="475" priority="13" stopIfTrue="1" operator="equal">
      <formula>""</formula>
    </cfRule>
  </conditionalFormatting>
  <conditionalFormatting sqref="N34">
    <cfRule type="cellIs" dxfId="474" priority="12" stopIfTrue="1" operator="equal">
      <formula>""</formula>
    </cfRule>
  </conditionalFormatting>
  <conditionalFormatting sqref="T31:AE31">
    <cfRule type="cellIs" dxfId="473" priority="11" stopIfTrue="1" operator="equal">
      <formula>""</formula>
    </cfRule>
  </conditionalFormatting>
  <conditionalFormatting sqref="T32:AE32">
    <cfRule type="cellIs" dxfId="472" priority="10" stopIfTrue="1" operator="equal">
      <formula>""</formula>
    </cfRule>
  </conditionalFormatting>
  <conditionalFormatting sqref="T33:AE33">
    <cfRule type="cellIs" dxfId="471" priority="9" stopIfTrue="1" operator="equal">
      <formula>""</formula>
    </cfRule>
  </conditionalFormatting>
  <conditionalFormatting sqref="N24:N30">
    <cfRule type="cellIs" dxfId="470" priority="8" stopIfTrue="1" operator="equal">
      <formula>""</formula>
    </cfRule>
  </conditionalFormatting>
  <conditionalFormatting sqref="T4">
    <cfRule type="cellIs" dxfId="469" priority="1" stopIfTrue="1" operator="equal">
      <formula>""</formula>
    </cfRule>
  </conditionalFormatting>
  <dataValidations count="1">
    <dataValidation type="list" allowBlank="1" showInputMessage="1" showErrorMessage="1" sqref="S4:S5" xr:uid="{FD91A189-6858-4CD4-94B3-D46E1F1AF80C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734A-856C-4713-8B9E-69323C48422C}">
  <sheetPr>
    <tabColor rgb="FFFFCCFF"/>
  </sheetPr>
  <dimension ref="A1:AS58"/>
  <sheetViews>
    <sheetView showGridLines="0" topLeftCell="A11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280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281</v>
      </c>
      <c r="D4" s="466"/>
      <c r="E4" s="466"/>
      <c r="F4" s="466"/>
      <c r="G4" s="466"/>
      <c r="H4" s="503" t="s">
        <v>8</v>
      </c>
      <c r="I4" s="466" t="s">
        <v>282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1</v>
      </c>
      <c r="U4" s="471"/>
      <c r="V4" s="472"/>
      <c r="W4" s="482" t="str">
        <f>IF(T4=1,"A",IF(T4&gt;=0.8,"B",IF(T4&gt;=0.7,"C",IF(O36&lt;0.7,"D"))))</f>
        <v>A</v>
      </c>
      <c r="X4" s="483"/>
      <c r="Y4" s="75"/>
      <c r="Z4" s="486">
        <f>AVERAGE(T34:AE34)</f>
        <v>0.9514285714285714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1</v>
      </c>
      <c r="O32" s="255">
        <f>N32*10</f>
        <v>10</v>
      </c>
      <c r="P32" s="393">
        <f>SUM(O32:O34)</f>
        <v>10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5</v>
      </c>
      <c r="U33" s="272">
        <v>2</v>
      </c>
      <c r="V33" s="272">
        <v>5</v>
      </c>
      <c r="W33" s="272">
        <v>2</v>
      </c>
      <c r="X33" s="272">
        <v>10</v>
      </c>
      <c r="Y33" s="272">
        <v>2</v>
      </c>
      <c r="Z33" s="272">
        <v>10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0.95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0.95</v>
      </c>
      <c r="W34" s="270">
        <f t="shared" si="1"/>
        <v>0.92</v>
      </c>
      <c r="X34" s="270">
        <f t="shared" si="1"/>
        <v>1</v>
      </c>
      <c r="Y34" s="270">
        <f t="shared" si="1"/>
        <v>0.92</v>
      </c>
      <c r="Z34" s="270">
        <f t="shared" si="1"/>
        <v>1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100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A</v>
      </c>
      <c r="Y35" s="15" t="str">
        <f t="shared" si="2"/>
        <v>B</v>
      </c>
      <c r="Z35" s="15" t="str">
        <f t="shared" si="2"/>
        <v>A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468" priority="26" operator="greaterThan">
      <formula>0</formula>
    </cfRule>
  </conditionalFormatting>
  <conditionalFormatting sqref="O34">
    <cfRule type="cellIs" dxfId="467" priority="25" operator="greaterThan">
      <formula>0</formula>
    </cfRule>
  </conditionalFormatting>
  <conditionalFormatting sqref="O32:O33">
    <cfRule type="cellIs" dxfId="466" priority="24" operator="greaterThan">
      <formula>0</formula>
    </cfRule>
  </conditionalFormatting>
  <conditionalFormatting sqref="AG9">
    <cfRule type="notContainsBlanks" dxfId="465" priority="23">
      <formula>LEN(TRIM(AG9))&gt;0</formula>
    </cfRule>
  </conditionalFormatting>
  <conditionalFormatting sqref="N10">
    <cfRule type="cellIs" dxfId="464" priority="22" stopIfTrue="1" operator="equal">
      <formula>""</formula>
    </cfRule>
  </conditionalFormatting>
  <conditionalFormatting sqref="N11:N18">
    <cfRule type="cellIs" dxfId="463" priority="21" stopIfTrue="1" operator="equal">
      <formula>""</formula>
    </cfRule>
  </conditionalFormatting>
  <conditionalFormatting sqref="N20">
    <cfRule type="cellIs" dxfId="462" priority="20" stopIfTrue="1" operator="equal">
      <formula>""</formula>
    </cfRule>
  </conditionalFormatting>
  <conditionalFormatting sqref="N21">
    <cfRule type="cellIs" dxfId="461" priority="19" stopIfTrue="1" operator="equal">
      <formula>""</formula>
    </cfRule>
  </conditionalFormatting>
  <conditionalFormatting sqref="N22">
    <cfRule type="cellIs" dxfId="460" priority="18" stopIfTrue="1" operator="equal">
      <formula>""</formula>
    </cfRule>
  </conditionalFormatting>
  <conditionalFormatting sqref="N32">
    <cfRule type="cellIs" dxfId="459" priority="17" stopIfTrue="1" operator="equal">
      <formula>""</formula>
    </cfRule>
  </conditionalFormatting>
  <conditionalFormatting sqref="N33">
    <cfRule type="cellIs" dxfId="458" priority="16" stopIfTrue="1" operator="equal">
      <formula>""</formula>
    </cfRule>
  </conditionalFormatting>
  <conditionalFormatting sqref="N34">
    <cfRule type="cellIs" dxfId="457" priority="15" stopIfTrue="1" operator="equal">
      <formula>""</formula>
    </cfRule>
  </conditionalFormatting>
  <conditionalFormatting sqref="T31:AE31">
    <cfRule type="cellIs" dxfId="456" priority="14" stopIfTrue="1" operator="equal">
      <formula>""</formula>
    </cfRule>
  </conditionalFormatting>
  <conditionalFormatting sqref="T32:AE32">
    <cfRule type="cellIs" dxfId="455" priority="13" stopIfTrue="1" operator="equal">
      <formula>""</formula>
    </cfRule>
  </conditionalFormatting>
  <conditionalFormatting sqref="T33:AE33">
    <cfRule type="cellIs" dxfId="454" priority="12" stopIfTrue="1" operator="equal">
      <formula>""</formula>
    </cfRule>
  </conditionalFormatting>
  <conditionalFormatting sqref="N24:N30">
    <cfRule type="cellIs" dxfId="453" priority="11" stopIfTrue="1" operator="equal">
      <formula>""</formula>
    </cfRule>
  </conditionalFormatting>
  <conditionalFormatting sqref="C3">
    <cfRule type="cellIs" dxfId="452" priority="9" stopIfTrue="1" operator="equal">
      <formula>""</formula>
    </cfRule>
  </conditionalFormatting>
  <conditionalFormatting sqref="C4">
    <cfRule type="cellIs" dxfId="451" priority="8" stopIfTrue="1" operator="equal">
      <formula>""</formula>
    </cfRule>
  </conditionalFormatting>
  <conditionalFormatting sqref="I4">
    <cfRule type="cellIs" dxfId="450" priority="7" stopIfTrue="1" operator="equal">
      <formula>""</formula>
    </cfRule>
  </conditionalFormatting>
  <conditionalFormatting sqref="T4">
    <cfRule type="cellIs" dxfId="449" priority="1" stopIfTrue="1" operator="equal">
      <formula>""</formula>
    </cfRule>
  </conditionalFormatting>
  <dataValidations count="1">
    <dataValidation type="list" allowBlank="1" showInputMessage="1" showErrorMessage="1" sqref="S4:S5" xr:uid="{C9801DC1-B0CE-4CDB-9FF8-DD0BA1D3DFAF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5D3C-C9FC-4F98-8256-66B506D9CAD6}">
  <sheetPr>
    <tabColor rgb="FFFF0000"/>
  </sheetPr>
  <dimension ref="A1:AS58"/>
  <sheetViews>
    <sheetView showGridLines="0" topLeftCell="A29" zoomScale="85" zoomScaleNormal="85" workbookViewId="0">
      <selection activeCell="AA60" sqref="AA60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504" t="s">
        <v>2</v>
      </c>
      <c r="B3" s="502"/>
      <c r="C3" s="466" t="s">
        <v>283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502" t="s">
        <v>7</v>
      </c>
      <c r="B4" s="502"/>
      <c r="C4" s="466" t="s">
        <v>284</v>
      </c>
      <c r="D4" s="466"/>
      <c r="E4" s="466"/>
      <c r="F4" s="466"/>
      <c r="G4" s="466"/>
      <c r="H4" s="503" t="s">
        <v>8</v>
      </c>
      <c r="I4" s="466" t="s">
        <v>285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0.76666666666666672</v>
      </c>
      <c r="U4" s="471"/>
      <c r="V4" s="472"/>
      <c r="W4" s="482" t="str">
        <f>IF(T4=1,"A",IF(T4&gt;=0.8,"B",IF(T4&gt;=0.7,"C",IF(O36&lt;0.7,"D"))))</f>
        <v>C</v>
      </c>
      <c r="X4" s="483"/>
      <c r="Y4" s="75"/>
      <c r="Z4" s="486">
        <f>AVERAGE(T34:AE34)</f>
        <v>0.81619047619047613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502"/>
      <c r="B5" s="502"/>
      <c r="C5" s="466"/>
      <c r="D5" s="466"/>
      <c r="E5" s="466"/>
      <c r="F5" s="466"/>
      <c r="G5" s="466"/>
      <c r="H5" s="503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36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1</v>
      </c>
      <c r="O18" s="257">
        <f>N18*4</f>
        <v>4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46</v>
      </c>
      <c r="V31" s="272">
        <v>50</v>
      </c>
      <c r="W31" s="272">
        <v>44</v>
      </c>
      <c r="X31" s="272">
        <v>50</v>
      </c>
      <c r="Y31" s="272">
        <v>50</v>
      </c>
      <c r="Z31" s="272">
        <v>46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0</v>
      </c>
      <c r="U32" s="272">
        <v>40</v>
      </c>
      <c r="V32" s="272">
        <v>0</v>
      </c>
      <c r="W32" s="272">
        <v>0</v>
      </c>
      <c r="X32" s="272">
        <v>0</v>
      </c>
      <c r="Y32" s="272">
        <v>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0</v>
      </c>
      <c r="U33" s="272">
        <v>2</v>
      </c>
      <c r="V33" s="272">
        <v>0</v>
      </c>
      <c r="W33" s="272">
        <v>0</v>
      </c>
      <c r="X33" s="272">
        <v>0</v>
      </c>
      <c r="Y33" s="272">
        <v>0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0.83333333333333337</v>
      </c>
      <c r="U34" s="270">
        <f>IF(ISBLANK(U31),"-",(U31+U32+U33)/(IF(U32&gt;0,100,60)))</f>
        <v>0.88</v>
      </c>
      <c r="V34" s="270">
        <f t="shared" ref="V34:AE34" si="1">IF(ISBLANK(V31),"-",(V31+V32+V33)/(IF(V32&gt;0,100,60)))</f>
        <v>0.83333333333333337</v>
      </c>
      <c r="W34" s="270">
        <f t="shared" si="1"/>
        <v>0.73333333333333328</v>
      </c>
      <c r="X34" s="270">
        <f t="shared" si="1"/>
        <v>0.83333333333333337</v>
      </c>
      <c r="Y34" s="270">
        <f t="shared" si="1"/>
        <v>0.83333333333333337</v>
      </c>
      <c r="Z34" s="270">
        <f t="shared" si="1"/>
        <v>0.76666666666666672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46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C</v>
      </c>
      <c r="X35" s="15" t="str">
        <f t="shared" si="2"/>
        <v>B</v>
      </c>
      <c r="Y35" s="15" t="str">
        <f t="shared" si="2"/>
        <v>B</v>
      </c>
      <c r="Z35" s="15" t="str">
        <f t="shared" si="2"/>
        <v>C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564" t="s">
        <v>286</v>
      </c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6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3">
    <mergeCell ref="C38:AE38"/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448" priority="30" operator="greaterThan">
      <formula>0</formula>
    </cfRule>
  </conditionalFormatting>
  <conditionalFormatting sqref="C3">
    <cfRule type="cellIs" dxfId="447" priority="28" stopIfTrue="1" operator="equal">
      <formula>""</formula>
    </cfRule>
  </conditionalFormatting>
  <conditionalFormatting sqref="C4">
    <cfRule type="cellIs" dxfId="446" priority="27" stopIfTrue="1" operator="equal">
      <formula>""</formula>
    </cfRule>
  </conditionalFormatting>
  <conditionalFormatting sqref="O34">
    <cfRule type="cellIs" dxfId="445" priority="26" operator="greaterThan">
      <formula>0</formula>
    </cfRule>
  </conditionalFormatting>
  <conditionalFormatting sqref="O32:O33">
    <cfRule type="cellIs" dxfId="444" priority="25" operator="greaterThan">
      <formula>0</formula>
    </cfRule>
  </conditionalFormatting>
  <conditionalFormatting sqref="AG9">
    <cfRule type="notContainsBlanks" dxfId="443" priority="24">
      <formula>LEN(TRIM(AG9))&gt;0</formula>
    </cfRule>
  </conditionalFormatting>
  <conditionalFormatting sqref="N10">
    <cfRule type="cellIs" dxfId="442" priority="23" stopIfTrue="1" operator="equal">
      <formula>""</formula>
    </cfRule>
  </conditionalFormatting>
  <conditionalFormatting sqref="N11:N18">
    <cfRule type="cellIs" dxfId="441" priority="22" stopIfTrue="1" operator="equal">
      <formula>""</formula>
    </cfRule>
  </conditionalFormatting>
  <conditionalFormatting sqref="N32">
    <cfRule type="cellIs" dxfId="440" priority="18" stopIfTrue="1" operator="equal">
      <formula>""</formula>
    </cfRule>
  </conditionalFormatting>
  <conditionalFormatting sqref="N33">
    <cfRule type="cellIs" dxfId="439" priority="17" stopIfTrue="1" operator="equal">
      <formula>""</formula>
    </cfRule>
  </conditionalFormatting>
  <conditionalFormatting sqref="N34">
    <cfRule type="cellIs" dxfId="438" priority="16" stopIfTrue="1" operator="equal">
      <formula>""</formula>
    </cfRule>
  </conditionalFormatting>
  <conditionalFormatting sqref="T31:AE31">
    <cfRule type="cellIs" dxfId="437" priority="15" stopIfTrue="1" operator="equal">
      <formula>""</formula>
    </cfRule>
  </conditionalFormatting>
  <conditionalFormatting sqref="T32:AE32">
    <cfRule type="cellIs" dxfId="436" priority="14" stopIfTrue="1" operator="equal">
      <formula>""</formula>
    </cfRule>
  </conditionalFormatting>
  <conditionalFormatting sqref="T33:AE33">
    <cfRule type="cellIs" dxfId="435" priority="13" stopIfTrue="1" operator="equal">
      <formula>""</formula>
    </cfRule>
  </conditionalFormatting>
  <conditionalFormatting sqref="N24:N30">
    <cfRule type="cellIs" dxfId="434" priority="12" stopIfTrue="1" operator="equal">
      <formula>""</formula>
    </cfRule>
  </conditionalFormatting>
  <conditionalFormatting sqref="I4">
    <cfRule type="cellIs" dxfId="433" priority="10" stopIfTrue="1" operator="equal">
      <formula>""</formula>
    </cfRule>
  </conditionalFormatting>
  <conditionalFormatting sqref="N20">
    <cfRule type="cellIs" dxfId="432" priority="9" stopIfTrue="1" operator="equal">
      <formula>""</formula>
    </cfRule>
  </conditionalFormatting>
  <conditionalFormatting sqref="N21">
    <cfRule type="cellIs" dxfId="431" priority="8" stopIfTrue="1" operator="equal">
      <formula>""</formula>
    </cfRule>
  </conditionalFormatting>
  <conditionalFormatting sqref="N22">
    <cfRule type="cellIs" dxfId="430" priority="7" stopIfTrue="1" operator="equal">
      <formula>""</formula>
    </cfRule>
  </conditionalFormatting>
  <conditionalFormatting sqref="T4">
    <cfRule type="cellIs" dxfId="429" priority="1" stopIfTrue="1" operator="equal">
      <formula>""</formula>
    </cfRule>
  </conditionalFormatting>
  <dataValidations count="1">
    <dataValidation type="list" allowBlank="1" showInputMessage="1" showErrorMessage="1" sqref="S4:S5" xr:uid="{5EB5D016-D822-4483-9AFF-04A09949FFA3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7504-56BB-4FB8-A379-1CB824FADD5F}">
  <sheetPr>
    <tabColor rgb="FFFFCCFF"/>
  </sheetPr>
  <dimension ref="A1:AS58"/>
  <sheetViews>
    <sheetView showGridLines="0" topLeftCell="A27" zoomScale="85" zoomScaleNormal="85" workbookViewId="0">
      <selection activeCell="AG45" sqref="AG45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189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287</v>
      </c>
      <c r="D4" s="466"/>
      <c r="E4" s="466"/>
      <c r="F4" s="466"/>
      <c r="G4" s="466"/>
      <c r="H4" s="467" t="s">
        <v>8</v>
      </c>
      <c r="I4" s="466" t="s">
        <v>288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0.8828571428571429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0</v>
      </c>
      <c r="V32" s="272">
        <v>0</v>
      </c>
      <c r="W32" s="272">
        <v>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0</v>
      </c>
      <c r="W33" s="272">
        <v>0</v>
      </c>
      <c r="X33" s="272">
        <v>2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0.83333333333333337</v>
      </c>
      <c r="W34" s="270">
        <f t="shared" si="1"/>
        <v>0.83333333333333337</v>
      </c>
      <c r="X34" s="270">
        <f t="shared" si="1"/>
        <v>0.92</v>
      </c>
      <c r="Y34" s="270">
        <f t="shared" si="1"/>
        <v>0.92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6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277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  <c r="AC40" s="273"/>
      <c r="AD40" s="273"/>
      <c r="AE40" s="274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0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428" priority="29" operator="greaterThan">
      <formula>0</formula>
    </cfRule>
  </conditionalFormatting>
  <conditionalFormatting sqref="O34">
    <cfRule type="cellIs" dxfId="427" priority="25" operator="greaterThan">
      <formula>0</formula>
    </cfRule>
  </conditionalFormatting>
  <conditionalFormatting sqref="O32:O33">
    <cfRule type="cellIs" dxfId="426" priority="24" operator="greaterThan">
      <formula>0</formula>
    </cfRule>
  </conditionalFormatting>
  <conditionalFormatting sqref="AG9">
    <cfRule type="notContainsBlanks" dxfId="425" priority="23">
      <formula>LEN(TRIM(AG9))&gt;0</formula>
    </cfRule>
  </conditionalFormatting>
  <conditionalFormatting sqref="N10">
    <cfRule type="cellIs" dxfId="424" priority="22" stopIfTrue="1" operator="equal">
      <formula>""</formula>
    </cfRule>
  </conditionalFormatting>
  <conditionalFormatting sqref="N11:N18">
    <cfRule type="cellIs" dxfId="423" priority="21" stopIfTrue="1" operator="equal">
      <formula>""</formula>
    </cfRule>
  </conditionalFormatting>
  <conditionalFormatting sqref="N20">
    <cfRule type="cellIs" dxfId="422" priority="20" stopIfTrue="1" operator="equal">
      <formula>""</formula>
    </cfRule>
  </conditionalFormatting>
  <conditionalFormatting sqref="N21">
    <cfRule type="cellIs" dxfId="421" priority="19" stopIfTrue="1" operator="equal">
      <formula>""</formula>
    </cfRule>
  </conditionalFormatting>
  <conditionalFormatting sqref="N22">
    <cfRule type="cellIs" dxfId="420" priority="18" stopIfTrue="1" operator="equal">
      <formula>""</formula>
    </cfRule>
  </conditionalFormatting>
  <conditionalFormatting sqref="N32">
    <cfRule type="cellIs" dxfId="419" priority="17" stopIfTrue="1" operator="equal">
      <formula>""</formula>
    </cfRule>
  </conditionalFormatting>
  <conditionalFormatting sqref="N33">
    <cfRule type="cellIs" dxfId="418" priority="16" stopIfTrue="1" operator="equal">
      <formula>""</formula>
    </cfRule>
  </conditionalFormatting>
  <conditionalFormatting sqref="N34">
    <cfRule type="cellIs" dxfId="417" priority="15" stopIfTrue="1" operator="equal">
      <formula>""</formula>
    </cfRule>
  </conditionalFormatting>
  <conditionalFormatting sqref="T31:AE31">
    <cfRule type="cellIs" dxfId="416" priority="14" stopIfTrue="1" operator="equal">
      <formula>""</formula>
    </cfRule>
  </conditionalFormatting>
  <conditionalFormatting sqref="T32:AE32">
    <cfRule type="cellIs" dxfId="415" priority="13" stopIfTrue="1" operator="equal">
      <formula>""</formula>
    </cfRule>
  </conditionalFormatting>
  <conditionalFormatting sqref="T33:AE33">
    <cfRule type="cellIs" dxfId="414" priority="12" stopIfTrue="1" operator="equal">
      <formula>""</formula>
    </cfRule>
  </conditionalFormatting>
  <conditionalFormatting sqref="N24:N30">
    <cfRule type="cellIs" dxfId="413" priority="11" stopIfTrue="1" operator="equal">
      <formula>""</formula>
    </cfRule>
  </conditionalFormatting>
  <conditionalFormatting sqref="I4">
    <cfRule type="cellIs" dxfId="412" priority="9" stopIfTrue="1" operator="equal">
      <formula>""</formula>
    </cfRule>
  </conditionalFormatting>
  <conditionalFormatting sqref="C3">
    <cfRule type="cellIs" dxfId="411" priority="8" stopIfTrue="1" operator="equal">
      <formula>""</formula>
    </cfRule>
  </conditionalFormatting>
  <conditionalFormatting sqref="C4">
    <cfRule type="cellIs" dxfId="410" priority="7" stopIfTrue="1" operator="equal">
      <formula>""</formula>
    </cfRule>
  </conditionalFormatting>
  <conditionalFormatting sqref="T4">
    <cfRule type="cellIs" dxfId="409" priority="1" stopIfTrue="1" operator="equal">
      <formula>""</formula>
    </cfRule>
  </conditionalFormatting>
  <dataValidations count="1">
    <dataValidation type="list" allowBlank="1" showInputMessage="1" showErrorMessage="1" sqref="S4:S5" xr:uid="{585E4ECD-24C0-4DDD-B0DD-3F06A3E4DBEC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2C2A-6BE6-4A55-B536-53FED4FDE8C0}">
  <sheetPr>
    <tabColor rgb="FFFFCCFF"/>
  </sheetPr>
  <dimension ref="A1:AS58"/>
  <sheetViews>
    <sheetView showGridLines="0" topLeftCell="A39" zoomScale="85" zoomScaleNormal="85" workbookViewId="0">
      <selection activeCell="V62" sqref="V6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289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290</v>
      </c>
      <c r="D4" s="466"/>
      <c r="E4" s="466"/>
      <c r="F4" s="466"/>
      <c r="G4" s="466"/>
      <c r="H4" s="467" t="s">
        <v>8</v>
      </c>
      <c r="I4" s="466" t="s">
        <v>291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0.92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2</v>
      </c>
      <c r="W33" s="272">
        <v>2</v>
      </c>
      <c r="X33" s="272">
        <v>2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0.92</v>
      </c>
      <c r="W34" s="270">
        <f t="shared" si="1"/>
        <v>0.92</v>
      </c>
      <c r="X34" s="270">
        <f t="shared" si="1"/>
        <v>0.92</v>
      </c>
      <c r="Y34" s="270">
        <f t="shared" si="1"/>
        <v>0.92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408" priority="32" operator="greaterThan">
      <formula>0</formula>
    </cfRule>
  </conditionalFormatting>
  <conditionalFormatting sqref="O34">
    <cfRule type="cellIs" dxfId="407" priority="28" operator="greaterThan">
      <formula>0</formula>
    </cfRule>
  </conditionalFormatting>
  <conditionalFormatting sqref="O32:O33">
    <cfRule type="cellIs" dxfId="406" priority="27" operator="greaterThan">
      <formula>0</formula>
    </cfRule>
  </conditionalFormatting>
  <conditionalFormatting sqref="AG9">
    <cfRule type="notContainsBlanks" dxfId="405" priority="26">
      <formula>LEN(TRIM(AG9))&gt;0</formula>
    </cfRule>
  </conditionalFormatting>
  <conditionalFormatting sqref="N10">
    <cfRule type="cellIs" dxfId="404" priority="25" stopIfTrue="1" operator="equal">
      <formula>""</formula>
    </cfRule>
  </conditionalFormatting>
  <conditionalFormatting sqref="N11:N18">
    <cfRule type="cellIs" dxfId="403" priority="24" stopIfTrue="1" operator="equal">
      <formula>""</formula>
    </cfRule>
  </conditionalFormatting>
  <conditionalFormatting sqref="N32">
    <cfRule type="cellIs" dxfId="402" priority="20" stopIfTrue="1" operator="equal">
      <formula>""</formula>
    </cfRule>
  </conditionalFormatting>
  <conditionalFormatting sqref="N33">
    <cfRule type="cellIs" dxfId="401" priority="19" stopIfTrue="1" operator="equal">
      <formula>""</formula>
    </cfRule>
  </conditionalFormatting>
  <conditionalFormatting sqref="N34">
    <cfRule type="cellIs" dxfId="400" priority="18" stopIfTrue="1" operator="equal">
      <formula>""</formula>
    </cfRule>
  </conditionalFormatting>
  <conditionalFormatting sqref="T31:AE31">
    <cfRule type="cellIs" dxfId="399" priority="17" stopIfTrue="1" operator="equal">
      <formula>""</formula>
    </cfRule>
  </conditionalFormatting>
  <conditionalFormatting sqref="T32:AE32">
    <cfRule type="cellIs" dxfId="398" priority="16" stopIfTrue="1" operator="equal">
      <formula>""</formula>
    </cfRule>
  </conditionalFormatting>
  <conditionalFormatting sqref="T33:AE33">
    <cfRule type="cellIs" dxfId="397" priority="15" stopIfTrue="1" operator="equal">
      <formula>""</formula>
    </cfRule>
  </conditionalFormatting>
  <conditionalFormatting sqref="N24:N30">
    <cfRule type="cellIs" dxfId="396" priority="14" stopIfTrue="1" operator="equal">
      <formula>""</formula>
    </cfRule>
  </conditionalFormatting>
  <conditionalFormatting sqref="I4">
    <cfRule type="cellIs" dxfId="395" priority="12" stopIfTrue="1" operator="equal">
      <formula>""</formula>
    </cfRule>
  </conditionalFormatting>
  <conditionalFormatting sqref="C3">
    <cfRule type="cellIs" dxfId="394" priority="11" stopIfTrue="1" operator="equal">
      <formula>""</formula>
    </cfRule>
  </conditionalFormatting>
  <conditionalFormatting sqref="C4">
    <cfRule type="cellIs" dxfId="393" priority="10" stopIfTrue="1" operator="equal">
      <formula>""</formula>
    </cfRule>
  </conditionalFormatting>
  <conditionalFormatting sqref="N20">
    <cfRule type="cellIs" dxfId="392" priority="9" stopIfTrue="1" operator="equal">
      <formula>""</formula>
    </cfRule>
  </conditionalFormatting>
  <conditionalFormatting sqref="N21">
    <cfRule type="cellIs" dxfId="391" priority="8" stopIfTrue="1" operator="equal">
      <formula>""</formula>
    </cfRule>
  </conditionalFormatting>
  <conditionalFormatting sqref="N22">
    <cfRule type="cellIs" dxfId="390" priority="7" stopIfTrue="1" operator="equal">
      <formula>""</formula>
    </cfRule>
  </conditionalFormatting>
  <conditionalFormatting sqref="T4">
    <cfRule type="cellIs" dxfId="389" priority="1" stopIfTrue="1" operator="equal">
      <formula>""</formula>
    </cfRule>
  </conditionalFormatting>
  <dataValidations count="1">
    <dataValidation type="list" allowBlank="1" showInputMessage="1" showErrorMessage="1" sqref="S4:S5" xr:uid="{84C50958-A688-4E6C-B3BE-6B3850D0321E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5ACC-F67C-4826-B2E8-9849692F83BD}">
  <sheetPr>
    <tabColor rgb="FFFFCCFF"/>
  </sheetPr>
  <dimension ref="A1:AS58"/>
  <sheetViews>
    <sheetView showGridLines="0" topLeftCell="A28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192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292</v>
      </c>
      <c r="D4" s="466"/>
      <c r="E4" s="466"/>
      <c r="F4" s="466"/>
      <c r="G4" s="466"/>
      <c r="H4" s="467" t="s">
        <v>8</v>
      </c>
      <c r="I4" s="466" t="s">
        <v>293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0.89523809523809528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0</v>
      </c>
      <c r="V32" s="272">
        <v>40</v>
      </c>
      <c r="W32" s="272">
        <v>40</v>
      </c>
      <c r="X32" s="272">
        <v>40</v>
      </c>
      <c r="Y32" s="272">
        <v>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2</v>
      </c>
      <c r="W33" s="272">
        <v>2</v>
      </c>
      <c r="X33" s="272">
        <v>2</v>
      </c>
      <c r="Y33" s="272">
        <v>0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0.92</v>
      </c>
      <c r="W34" s="270">
        <f t="shared" si="1"/>
        <v>0.92</v>
      </c>
      <c r="X34" s="270">
        <f t="shared" si="1"/>
        <v>0.92</v>
      </c>
      <c r="Y34" s="270">
        <f t="shared" si="1"/>
        <v>0.83333333333333337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388" priority="32" operator="greaterThan">
      <formula>0</formula>
    </cfRule>
  </conditionalFormatting>
  <conditionalFormatting sqref="O34">
    <cfRule type="cellIs" dxfId="387" priority="31" operator="greaterThan">
      <formula>0</formula>
    </cfRule>
  </conditionalFormatting>
  <conditionalFormatting sqref="O32:O33">
    <cfRule type="cellIs" dxfId="386" priority="30" operator="greaterThan">
      <formula>0</formula>
    </cfRule>
  </conditionalFormatting>
  <conditionalFormatting sqref="AG9">
    <cfRule type="notContainsBlanks" dxfId="385" priority="29">
      <formula>LEN(TRIM(AG9))&gt;0</formula>
    </cfRule>
  </conditionalFormatting>
  <conditionalFormatting sqref="N10">
    <cfRule type="cellIs" dxfId="384" priority="28" stopIfTrue="1" operator="equal">
      <formula>""</formula>
    </cfRule>
  </conditionalFormatting>
  <conditionalFormatting sqref="N11:N18">
    <cfRule type="cellIs" dxfId="383" priority="27" stopIfTrue="1" operator="equal">
      <formula>""</formula>
    </cfRule>
  </conditionalFormatting>
  <conditionalFormatting sqref="N32">
    <cfRule type="cellIs" dxfId="382" priority="23" stopIfTrue="1" operator="equal">
      <formula>""</formula>
    </cfRule>
  </conditionalFormatting>
  <conditionalFormatting sqref="N33">
    <cfRule type="cellIs" dxfId="381" priority="22" stopIfTrue="1" operator="equal">
      <formula>""</formula>
    </cfRule>
  </conditionalFormatting>
  <conditionalFormatting sqref="N34">
    <cfRule type="cellIs" dxfId="380" priority="21" stopIfTrue="1" operator="equal">
      <formula>""</formula>
    </cfRule>
  </conditionalFormatting>
  <conditionalFormatting sqref="T31:AE31">
    <cfRule type="cellIs" dxfId="379" priority="20" stopIfTrue="1" operator="equal">
      <formula>""</formula>
    </cfRule>
  </conditionalFormatting>
  <conditionalFormatting sqref="T32:AE32">
    <cfRule type="cellIs" dxfId="378" priority="19" stopIfTrue="1" operator="equal">
      <formula>""</formula>
    </cfRule>
  </conditionalFormatting>
  <conditionalFormatting sqref="T33:AE33">
    <cfRule type="cellIs" dxfId="377" priority="18" stopIfTrue="1" operator="equal">
      <formula>""</formula>
    </cfRule>
  </conditionalFormatting>
  <conditionalFormatting sqref="N24:N30">
    <cfRule type="cellIs" dxfId="376" priority="17" stopIfTrue="1" operator="equal">
      <formula>""</formula>
    </cfRule>
  </conditionalFormatting>
  <conditionalFormatting sqref="I4">
    <cfRule type="cellIs" dxfId="375" priority="12" stopIfTrue="1" operator="equal">
      <formula>""</formula>
    </cfRule>
  </conditionalFormatting>
  <conditionalFormatting sqref="C3">
    <cfRule type="cellIs" dxfId="374" priority="11" stopIfTrue="1" operator="equal">
      <formula>""</formula>
    </cfRule>
  </conditionalFormatting>
  <conditionalFormatting sqref="C4">
    <cfRule type="cellIs" dxfId="373" priority="10" stopIfTrue="1" operator="equal">
      <formula>""</formula>
    </cfRule>
  </conditionalFormatting>
  <conditionalFormatting sqref="N20">
    <cfRule type="cellIs" dxfId="372" priority="9" stopIfTrue="1" operator="equal">
      <formula>""</formula>
    </cfRule>
  </conditionalFormatting>
  <conditionalFormatting sqref="N21">
    <cfRule type="cellIs" dxfId="371" priority="8" stopIfTrue="1" operator="equal">
      <formula>""</formula>
    </cfRule>
  </conditionalFormatting>
  <conditionalFormatting sqref="N22">
    <cfRule type="cellIs" dxfId="370" priority="7" stopIfTrue="1" operator="equal">
      <formula>""</formula>
    </cfRule>
  </conditionalFormatting>
  <conditionalFormatting sqref="T4">
    <cfRule type="cellIs" dxfId="369" priority="1" stopIfTrue="1" operator="equal">
      <formula>""</formula>
    </cfRule>
  </conditionalFormatting>
  <dataValidations count="1">
    <dataValidation type="list" allowBlank="1" showInputMessage="1" showErrorMessage="1" sqref="S4:S5" xr:uid="{77886798-F68A-4BFC-9342-ECD07593675E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8ADD-848D-4980-BB50-62EEF49CB072}">
  <sheetPr>
    <tabColor rgb="FFFF0000"/>
  </sheetPr>
  <dimension ref="A1:AS58"/>
  <sheetViews>
    <sheetView showGridLines="0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294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295</v>
      </c>
      <c r="D4" s="466"/>
      <c r="E4" s="466"/>
      <c r="F4" s="466"/>
      <c r="G4" s="466"/>
      <c r="H4" s="467" t="s">
        <v>8</v>
      </c>
      <c r="I4" s="466" t="s">
        <v>296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0.8704761904761904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40</v>
      </c>
      <c r="U32" s="272">
        <v>0</v>
      </c>
      <c r="V32" s="272">
        <v>40</v>
      </c>
      <c r="W32" s="272">
        <v>0</v>
      </c>
      <c r="X32" s="272">
        <v>40</v>
      </c>
      <c r="Y32" s="272">
        <v>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2</v>
      </c>
      <c r="W33" s="272">
        <v>0</v>
      </c>
      <c r="X33" s="272">
        <v>2</v>
      </c>
      <c r="Y33" s="272">
        <v>0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0.92</v>
      </c>
      <c r="W34" s="270">
        <f t="shared" si="1"/>
        <v>0.83333333333333337</v>
      </c>
      <c r="X34" s="270">
        <f t="shared" si="1"/>
        <v>0.92</v>
      </c>
      <c r="Y34" s="270">
        <f t="shared" si="1"/>
        <v>0.83333333333333337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368" priority="32" operator="greaterThan">
      <formula>0</formula>
    </cfRule>
  </conditionalFormatting>
  <conditionalFormatting sqref="O34">
    <cfRule type="cellIs" dxfId="367" priority="28" operator="greaterThan">
      <formula>0</formula>
    </cfRule>
  </conditionalFormatting>
  <conditionalFormatting sqref="O32:O33">
    <cfRule type="cellIs" dxfId="366" priority="27" operator="greaterThan">
      <formula>0</formula>
    </cfRule>
  </conditionalFormatting>
  <conditionalFormatting sqref="AG9">
    <cfRule type="notContainsBlanks" dxfId="365" priority="26">
      <formula>LEN(TRIM(AG9))&gt;0</formula>
    </cfRule>
  </conditionalFormatting>
  <conditionalFormatting sqref="N10">
    <cfRule type="cellIs" dxfId="364" priority="25" stopIfTrue="1" operator="equal">
      <formula>""</formula>
    </cfRule>
  </conditionalFormatting>
  <conditionalFormatting sqref="N11:N18">
    <cfRule type="cellIs" dxfId="363" priority="24" stopIfTrue="1" operator="equal">
      <formula>""</formula>
    </cfRule>
  </conditionalFormatting>
  <conditionalFormatting sqref="N32">
    <cfRule type="cellIs" dxfId="362" priority="20" stopIfTrue="1" operator="equal">
      <formula>""</formula>
    </cfRule>
  </conditionalFormatting>
  <conditionalFormatting sqref="N33">
    <cfRule type="cellIs" dxfId="361" priority="19" stopIfTrue="1" operator="equal">
      <formula>""</formula>
    </cfRule>
  </conditionalFormatting>
  <conditionalFormatting sqref="N34">
    <cfRule type="cellIs" dxfId="360" priority="18" stopIfTrue="1" operator="equal">
      <formula>""</formula>
    </cfRule>
  </conditionalFormatting>
  <conditionalFormatting sqref="T31:AE31">
    <cfRule type="cellIs" dxfId="359" priority="17" stopIfTrue="1" operator="equal">
      <formula>""</formula>
    </cfRule>
  </conditionalFormatting>
  <conditionalFormatting sqref="T32:AE32">
    <cfRule type="cellIs" dxfId="358" priority="16" stopIfTrue="1" operator="equal">
      <formula>""</formula>
    </cfRule>
  </conditionalFormatting>
  <conditionalFormatting sqref="T33:AE33">
    <cfRule type="cellIs" dxfId="357" priority="15" stopIfTrue="1" operator="equal">
      <formula>""</formula>
    </cfRule>
  </conditionalFormatting>
  <conditionalFormatting sqref="N24:N30">
    <cfRule type="cellIs" dxfId="356" priority="14" stopIfTrue="1" operator="equal">
      <formula>""</formula>
    </cfRule>
  </conditionalFormatting>
  <conditionalFormatting sqref="I4">
    <cfRule type="cellIs" dxfId="355" priority="12" stopIfTrue="1" operator="equal">
      <formula>""</formula>
    </cfRule>
  </conditionalFormatting>
  <conditionalFormatting sqref="C3">
    <cfRule type="cellIs" dxfId="354" priority="11" stopIfTrue="1" operator="equal">
      <formula>""</formula>
    </cfRule>
  </conditionalFormatting>
  <conditionalFormatting sqref="C4">
    <cfRule type="cellIs" dxfId="353" priority="10" stopIfTrue="1" operator="equal">
      <formula>""</formula>
    </cfRule>
  </conditionalFormatting>
  <conditionalFormatting sqref="N20">
    <cfRule type="cellIs" dxfId="352" priority="9" stopIfTrue="1" operator="equal">
      <formula>""</formula>
    </cfRule>
  </conditionalFormatting>
  <conditionalFormatting sqref="N21">
    <cfRule type="cellIs" dxfId="351" priority="8" stopIfTrue="1" operator="equal">
      <formula>""</formula>
    </cfRule>
  </conditionalFormatting>
  <conditionalFormatting sqref="N22">
    <cfRule type="cellIs" dxfId="350" priority="7" stopIfTrue="1" operator="equal">
      <formula>""</formula>
    </cfRule>
  </conditionalFormatting>
  <conditionalFormatting sqref="T4">
    <cfRule type="cellIs" dxfId="349" priority="1" stopIfTrue="1" operator="equal">
      <formula>""</formula>
    </cfRule>
  </conditionalFormatting>
  <dataValidations count="1">
    <dataValidation type="list" allowBlank="1" showInputMessage="1" showErrorMessage="1" sqref="S4:S5" xr:uid="{6894844A-B22B-4F1B-A43A-1DBFE5237391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2461-4946-4D08-8B0E-0EC7F05F2EB9}">
  <sheetPr>
    <tabColor rgb="FFFF0000"/>
  </sheetPr>
  <dimension ref="A1:AS58"/>
  <sheetViews>
    <sheetView showGridLines="0" topLeftCell="A34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297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298</v>
      </c>
      <c r="D4" s="466"/>
      <c r="E4" s="466"/>
      <c r="F4" s="466"/>
      <c r="G4" s="466"/>
      <c r="H4" s="467" t="s">
        <v>8</v>
      </c>
      <c r="I4" s="466" t="s">
        <v>299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0.85809523809523802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40</v>
      </c>
      <c r="U32" s="272">
        <v>0</v>
      </c>
      <c r="V32" s="272">
        <v>40</v>
      </c>
      <c r="W32" s="272">
        <v>0</v>
      </c>
      <c r="X32" s="272">
        <v>0</v>
      </c>
      <c r="Y32" s="272">
        <v>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2</v>
      </c>
      <c r="W33" s="272">
        <v>0</v>
      </c>
      <c r="X33" s="272">
        <v>0</v>
      </c>
      <c r="Y33" s="272">
        <v>0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0.92</v>
      </c>
      <c r="W34" s="270">
        <f t="shared" si="1"/>
        <v>0.83333333333333337</v>
      </c>
      <c r="X34" s="270">
        <f t="shared" si="1"/>
        <v>0.83333333333333337</v>
      </c>
      <c r="Y34" s="270">
        <f t="shared" si="1"/>
        <v>0.83333333333333337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348" priority="32" operator="greaterThan">
      <formula>0</formula>
    </cfRule>
  </conditionalFormatting>
  <conditionalFormatting sqref="O34">
    <cfRule type="cellIs" dxfId="347" priority="28" operator="greaterThan">
      <formula>0</formula>
    </cfRule>
  </conditionalFormatting>
  <conditionalFormatting sqref="O32:O33">
    <cfRule type="cellIs" dxfId="346" priority="27" operator="greaterThan">
      <formula>0</formula>
    </cfRule>
  </conditionalFormatting>
  <conditionalFormatting sqref="AG9">
    <cfRule type="notContainsBlanks" dxfId="345" priority="26">
      <formula>LEN(TRIM(AG9))&gt;0</formula>
    </cfRule>
  </conditionalFormatting>
  <conditionalFormatting sqref="N10">
    <cfRule type="cellIs" dxfId="344" priority="25" stopIfTrue="1" operator="equal">
      <formula>""</formula>
    </cfRule>
  </conditionalFormatting>
  <conditionalFormatting sqref="N11:N18">
    <cfRule type="cellIs" dxfId="343" priority="24" stopIfTrue="1" operator="equal">
      <formula>""</formula>
    </cfRule>
  </conditionalFormatting>
  <conditionalFormatting sqref="N32">
    <cfRule type="cellIs" dxfId="342" priority="20" stopIfTrue="1" operator="equal">
      <formula>""</formula>
    </cfRule>
  </conditionalFormatting>
  <conditionalFormatting sqref="N33">
    <cfRule type="cellIs" dxfId="341" priority="19" stopIfTrue="1" operator="equal">
      <formula>""</formula>
    </cfRule>
  </conditionalFormatting>
  <conditionalFormatting sqref="N34">
    <cfRule type="cellIs" dxfId="340" priority="18" stopIfTrue="1" operator="equal">
      <formula>""</formula>
    </cfRule>
  </conditionalFormatting>
  <conditionalFormatting sqref="T31:AE31">
    <cfRule type="cellIs" dxfId="339" priority="17" stopIfTrue="1" operator="equal">
      <formula>""</formula>
    </cfRule>
  </conditionalFormatting>
  <conditionalFormatting sqref="T32:AE32">
    <cfRule type="cellIs" dxfId="338" priority="16" stopIfTrue="1" operator="equal">
      <formula>""</formula>
    </cfRule>
  </conditionalFormatting>
  <conditionalFormatting sqref="T33:AE33">
    <cfRule type="cellIs" dxfId="337" priority="15" stopIfTrue="1" operator="equal">
      <formula>""</formula>
    </cfRule>
  </conditionalFormatting>
  <conditionalFormatting sqref="N24:N30">
    <cfRule type="cellIs" dxfId="336" priority="14" stopIfTrue="1" operator="equal">
      <formula>""</formula>
    </cfRule>
  </conditionalFormatting>
  <conditionalFormatting sqref="I4">
    <cfRule type="cellIs" dxfId="335" priority="12" stopIfTrue="1" operator="equal">
      <formula>""</formula>
    </cfRule>
  </conditionalFormatting>
  <conditionalFormatting sqref="C3">
    <cfRule type="cellIs" dxfId="334" priority="11" stopIfTrue="1" operator="equal">
      <formula>""</formula>
    </cfRule>
  </conditionalFormatting>
  <conditionalFormatting sqref="C4">
    <cfRule type="cellIs" dxfId="333" priority="10" stopIfTrue="1" operator="equal">
      <formula>""</formula>
    </cfRule>
  </conditionalFormatting>
  <conditionalFormatting sqref="N20">
    <cfRule type="cellIs" dxfId="332" priority="9" stopIfTrue="1" operator="equal">
      <formula>""</formula>
    </cfRule>
  </conditionalFormatting>
  <conditionalFormatting sqref="N21">
    <cfRule type="cellIs" dxfId="331" priority="8" stopIfTrue="1" operator="equal">
      <formula>""</formula>
    </cfRule>
  </conditionalFormatting>
  <conditionalFormatting sqref="N22">
    <cfRule type="cellIs" dxfId="330" priority="7" stopIfTrue="1" operator="equal">
      <formula>""</formula>
    </cfRule>
  </conditionalFormatting>
  <conditionalFormatting sqref="T4">
    <cfRule type="cellIs" dxfId="329" priority="1" stopIfTrue="1" operator="equal">
      <formula>""</formula>
    </cfRule>
  </conditionalFormatting>
  <dataValidations count="1">
    <dataValidation type="list" allowBlank="1" showInputMessage="1" showErrorMessage="1" sqref="S4:S5" xr:uid="{0AF01B9D-DAC2-4D6F-A345-B816A9E9883B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68CC-D928-41B0-BE7C-3091484A07C1}">
  <sheetPr>
    <tabColor rgb="FFFF0000"/>
  </sheetPr>
  <dimension ref="A1:AS58"/>
  <sheetViews>
    <sheetView showGridLines="0" topLeftCell="A28" zoomScale="85" zoomScaleNormal="85" workbookViewId="0">
      <selection activeCell="U61" sqref="U61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169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300</v>
      </c>
      <c r="D4" s="466"/>
      <c r="E4" s="466"/>
      <c r="F4" s="466"/>
      <c r="G4" s="466"/>
      <c r="H4" s="467" t="s">
        <v>8</v>
      </c>
      <c r="I4" s="466" t="s">
        <v>301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0.89523809523809528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0</v>
      </c>
      <c r="X32" s="272">
        <v>40</v>
      </c>
      <c r="Y32" s="272">
        <v>40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2</v>
      </c>
      <c r="W33" s="272">
        <v>0</v>
      </c>
      <c r="X33" s="272">
        <v>2</v>
      </c>
      <c r="Y33" s="272">
        <v>2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0.92</v>
      </c>
      <c r="W34" s="270">
        <f t="shared" si="1"/>
        <v>0.83333333333333337</v>
      </c>
      <c r="X34" s="270">
        <f t="shared" si="1"/>
        <v>0.92</v>
      </c>
      <c r="Y34" s="270">
        <f t="shared" si="1"/>
        <v>0.92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328" priority="32" operator="greaterThan">
      <formula>0</formula>
    </cfRule>
  </conditionalFormatting>
  <conditionalFormatting sqref="O34">
    <cfRule type="cellIs" dxfId="327" priority="31" operator="greaterThan">
      <formula>0</formula>
    </cfRule>
  </conditionalFormatting>
  <conditionalFormatting sqref="O32:O33">
    <cfRule type="cellIs" dxfId="326" priority="30" operator="greaterThan">
      <formula>0</formula>
    </cfRule>
  </conditionalFormatting>
  <conditionalFormatting sqref="AG9">
    <cfRule type="notContainsBlanks" dxfId="325" priority="29">
      <formula>LEN(TRIM(AG9))&gt;0</formula>
    </cfRule>
  </conditionalFormatting>
  <conditionalFormatting sqref="N10">
    <cfRule type="cellIs" dxfId="324" priority="28" stopIfTrue="1" operator="equal">
      <formula>""</formula>
    </cfRule>
  </conditionalFormatting>
  <conditionalFormatting sqref="N11:N18">
    <cfRule type="cellIs" dxfId="323" priority="27" stopIfTrue="1" operator="equal">
      <formula>""</formula>
    </cfRule>
  </conditionalFormatting>
  <conditionalFormatting sqref="N32">
    <cfRule type="cellIs" dxfId="322" priority="23" stopIfTrue="1" operator="equal">
      <formula>""</formula>
    </cfRule>
  </conditionalFormatting>
  <conditionalFormatting sqref="N33">
    <cfRule type="cellIs" dxfId="321" priority="22" stopIfTrue="1" operator="equal">
      <formula>""</formula>
    </cfRule>
  </conditionalFormatting>
  <conditionalFormatting sqref="N34">
    <cfRule type="cellIs" dxfId="320" priority="21" stopIfTrue="1" operator="equal">
      <formula>""</formula>
    </cfRule>
  </conditionalFormatting>
  <conditionalFormatting sqref="T31:AE31">
    <cfRule type="cellIs" dxfId="319" priority="20" stopIfTrue="1" operator="equal">
      <formula>""</formula>
    </cfRule>
  </conditionalFormatting>
  <conditionalFormatting sqref="T32:AE32">
    <cfRule type="cellIs" dxfId="318" priority="19" stopIfTrue="1" operator="equal">
      <formula>""</formula>
    </cfRule>
  </conditionalFormatting>
  <conditionalFormatting sqref="T33:AE33">
    <cfRule type="cellIs" dxfId="317" priority="18" stopIfTrue="1" operator="equal">
      <formula>""</formula>
    </cfRule>
  </conditionalFormatting>
  <conditionalFormatting sqref="N24:N30">
    <cfRule type="cellIs" dxfId="316" priority="17" stopIfTrue="1" operator="equal">
      <formula>""</formula>
    </cfRule>
  </conditionalFormatting>
  <conditionalFormatting sqref="I4">
    <cfRule type="cellIs" dxfId="315" priority="12" stopIfTrue="1" operator="equal">
      <formula>""</formula>
    </cfRule>
  </conditionalFormatting>
  <conditionalFormatting sqref="C3">
    <cfRule type="cellIs" dxfId="314" priority="11" stopIfTrue="1" operator="equal">
      <formula>""</formula>
    </cfRule>
  </conditionalFormatting>
  <conditionalFormatting sqref="C4">
    <cfRule type="cellIs" dxfId="313" priority="10" stopIfTrue="1" operator="equal">
      <formula>""</formula>
    </cfRule>
  </conditionalFormatting>
  <conditionalFormatting sqref="N20">
    <cfRule type="cellIs" dxfId="312" priority="9" stopIfTrue="1" operator="equal">
      <formula>""</formula>
    </cfRule>
  </conditionalFormatting>
  <conditionalFormatting sqref="N21">
    <cfRule type="cellIs" dxfId="311" priority="8" stopIfTrue="1" operator="equal">
      <formula>""</formula>
    </cfRule>
  </conditionalFormatting>
  <conditionalFormatting sqref="N22">
    <cfRule type="cellIs" dxfId="310" priority="7" stopIfTrue="1" operator="equal">
      <formula>""</formula>
    </cfRule>
  </conditionalFormatting>
  <conditionalFormatting sqref="T4">
    <cfRule type="cellIs" dxfId="309" priority="1" stopIfTrue="1" operator="equal">
      <formula>""</formula>
    </cfRule>
  </conditionalFormatting>
  <dataValidations count="1">
    <dataValidation type="list" allowBlank="1" showInputMessage="1" showErrorMessage="1" sqref="S4:S5" xr:uid="{5A39A815-9BD9-49D9-88FD-7488203CF688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EADF-505B-4B30-8FDE-110D46F80F01}">
  <sheetPr>
    <tabColor rgb="FFFFCCFF"/>
  </sheetPr>
  <dimension ref="A1:AS58"/>
  <sheetViews>
    <sheetView showGridLines="0" topLeftCell="A30" zoomScale="85" zoomScaleNormal="85" workbookViewId="0">
      <selection activeCell="Y56" sqref="Y56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302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303</v>
      </c>
      <c r="D4" s="466"/>
      <c r="E4" s="466"/>
      <c r="F4" s="466"/>
      <c r="G4" s="466"/>
      <c r="H4" s="467" t="s">
        <v>8</v>
      </c>
      <c r="I4" s="466" t="s">
        <v>304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0.95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0.97142857142857142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5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1</v>
      </c>
      <c r="O33" s="255">
        <f>N33*5</f>
        <v>5</v>
      </c>
      <c r="P33" s="395"/>
      <c r="Q33" s="396"/>
      <c r="S33" s="269" t="s">
        <v>71</v>
      </c>
      <c r="T33" s="267">
        <v>5</v>
      </c>
      <c r="U33" s="272">
        <v>10</v>
      </c>
      <c r="V33" s="272">
        <v>5</v>
      </c>
      <c r="W33" s="272">
        <v>5</v>
      </c>
      <c r="X33" s="272">
        <v>10</v>
      </c>
      <c r="Y33" s="272">
        <v>10</v>
      </c>
      <c r="Z33" s="272">
        <v>5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0.95</v>
      </c>
      <c r="U34" s="270">
        <f>IF(ISBLANK(U31),"-",(U31+U32+U33)/(IF(U32&gt;0,100,60)))</f>
        <v>1</v>
      </c>
      <c r="V34" s="270">
        <f t="shared" ref="V34:AE34" si="1">IF(ISBLANK(V31),"-",(V31+V32+V33)/(IF(V32&gt;0,100,60)))</f>
        <v>0.95</v>
      </c>
      <c r="W34" s="270">
        <f t="shared" si="1"/>
        <v>0.95</v>
      </c>
      <c r="X34" s="270">
        <f t="shared" si="1"/>
        <v>1</v>
      </c>
      <c r="Y34" s="270">
        <f t="shared" si="1"/>
        <v>1</v>
      </c>
      <c r="Z34" s="270">
        <f t="shared" si="1"/>
        <v>0.95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95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A</v>
      </c>
      <c r="V35" s="15" t="str">
        <f t="shared" si="2"/>
        <v>B</v>
      </c>
      <c r="W35" s="15" t="str">
        <f t="shared" si="2"/>
        <v>B</v>
      </c>
      <c r="X35" s="15" t="str">
        <f t="shared" si="2"/>
        <v>A</v>
      </c>
      <c r="Y35" s="15" t="str">
        <f t="shared" si="2"/>
        <v>A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308" priority="32" operator="greaterThan">
      <formula>0</formula>
    </cfRule>
  </conditionalFormatting>
  <conditionalFormatting sqref="O34">
    <cfRule type="cellIs" dxfId="307" priority="31" operator="greaterThan">
      <formula>0</formula>
    </cfRule>
  </conditionalFormatting>
  <conditionalFormatting sqref="O32:O33">
    <cfRule type="cellIs" dxfId="306" priority="30" operator="greaterThan">
      <formula>0</formula>
    </cfRule>
  </conditionalFormatting>
  <conditionalFormatting sqref="AG9">
    <cfRule type="notContainsBlanks" dxfId="305" priority="29">
      <formula>LEN(TRIM(AG9))&gt;0</formula>
    </cfRule>
  </conditionalFormatting>
  <conditionalFormatting sqref="N10">
    <cfRule type="cellIs" dxfId="304" priority="28" stopIfTrue="1" operator="equal">
      <formula>""</formula>
    </cfRule>
  </conditionalFormatting>
  <conditionalFormatting sqref="N11:N18">
    <cfRule type="cellIs" dxfId="303" priority="27" stopIfTrue="1" operator="equal">
      <formula>""</formula>
    </cfRule>
  </conditionalFormatting>
  <conditionalFormatting sqref="N32">
    <cfRule type="cellIs" dxfId="302" priority="23" stopIfTrue="1" operator="equal">
      <formula>""</formula>
    </cfRule>
  </conditionalFormatting>
  <conditionalFormatting sqref="N33">
    <cfRule type="cellIs" dxfId="301" priority="22" stopIfTrue="1" operator="equal">
      <formula>""</formula>
    </cfRule>
  </conditionalFormatting>
  <conditionalFormatting sqref="N34">
    <cfRule type="cellIs" dxfId="300" priority="21" stopIfTrue="1" operator="equal">
      <formula>""</formula>
    </cfRule>
  </conditionalFormatting>
  <conditionalFormatting sqref="T31:AE31">
    <cfRule type="cellIs" dxfId="299" priority="20" stopIfTrue="1" operator="equal">
      <formula>""</formula>
    </cfRule>
  </conditionalFormatting>
  <conditionalFormatting sqref="T32:AE32">
    <cfRule type="cellIs" dxfId="298" priority="19" stopIfTrue="1" operator="equal">
      <formula>""</formula>
    </cfRule>
  </conditionalFormatting>
  <conditionalFormatting sqref="T33:AE33">
    <cfRule type="cellIs" dxfId="297" priority="18" stopIfTrue="1" operator="equal">
      <formula>""</formula>
    </cfRule>
  </conditionalFormatting>
  <conditionalFormatting sqref="N24:N30">
    <cfRule type="cellIs" dxfId="296" priority="17" stopIfTrue="1" operator="equal">
      <formula>""</formula>
    </cfRule>
  </conditionalFormatting>
  <conditionalFormatting sqref="I4">
    <cfRule type="cellIs" dxfId="295" priority="12" stopIfTrue="1" operator="equal">
      <formula>""</formula>
    </cfRule>
  </conditionalFormatting>
  <conditionalFormatting sqref="C3">
    <cfRule type="cellIs" dxfId="294" priority="11" stopIfTrue="1" operator="equal">
      <formula>""</formula>
    </cfRule>
  </conditionalFormatting>
  <conditionalFormatting sqref="C4">
    <cfRule type="cellIs" dxfId="293" priority="10" stopIfTrue="1" operator="equal">
      <formula>""</formula>
    </cfRule>
  </conditionalFormatting>
  <conditionalFormatting sqref="N20">
    <cfRule type="cellIs" dxfId="292" priority="9" stopIfTrue="1" operator="equal">
      <formula>""</formula>
    </cfRule>
  </conditionalFormatting>
  <conditionalFormatting sqref="N21">
    <cfRule type="cellIs" dxfId="291" priority="8" stopIfTrue="1" operator="equal">
      <formula>""</formula>
    </cfRule>
  </conditionalFormatting>
  <conditionalFormatting sqref="N22">
    <cfRule type="cellIs" dxfId="290" priority="7" stopIfTrue="1" operator="equal">
      <formula>""</formula>
    </cfRule>
  </conditionalFormatting>
  <conditionalFormatting sqref="T4">
    <cfRule type="cellIs" dxfId="289" priority="1" stopIfTrue="1" operator="equal">
      <formula>""</formula>
    </cfRule>
  </conditionalFormatting>
  <dataValidations count="1">
    <dataValidation type="list" allowBlank="1" showInputMessage="1" showErrorMessage="1" sqref="S4:S5" xr:uid="{119CA95D-1073-48F6-81BD-97EE4793BC74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6C42-9031-454B-923D-1C65F6A91EB9}">
  <sheetPr>
    <tabColor rgb="FFFF0000"/>
  </sheetPr>
  <dimension ref="A1:AS58"/>
  <sheetViews>
    <sheetView showGridLines="0" topLeftCell="A33" zoomScale="85" zoomScaleNormal="85" workbookViewId="0">
      <selection activeCell="C39" sqref="C39:AE39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305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306</v>
      </c>
      <c r="D4" s="466"/>
      <c r="E4" s="466"/>
      <c r="F4" s="466"/>
      <c r="G4" s="466"/>
      <c r="H4" s="467" t="s">
        <v>8</v>
      </c>
      <c r="I4" s="466">
        <v>774533331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0.84571428571428575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40</v>
      </c>
      <c r="U32" s="272">
        <v>0</v>
      </c>
      <c r="V32" s="272">
        <v>0</v>
      </c>
      <c r="W32" s="272">
        <v>0</v>
      </c>
      <c r="X32" s="272">
        <v>0</v>
      </c>
      <c r="Y32" s="272">
        <v>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0</v>
      </c>
      <c r="W33" s="272">
        <v>0</v>
      </c>
      <c r="X33" s="272">
        <v>0</v>
      </c>
      <c r="Y33" s="272">
        <v>0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0.83333333333333337</v>
      </c>
      <c r="W34" s="270">
        <f t="shared" si="1"/>
        <v>0.83333333333333337</v>
      </c>
      <c r="X34" s="270">
        <f t="shared" si="1"/>
        <v>0.83333333333333337</v>
      </c>
      <c r="Y34" s="270">
        <f t="shared" si="1"/>
        <v>0.83333333333333337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288" priority="32" operator="greaterThan">
      <formula>0</formula>
    </cfRule>
  </conditionalFormatting>
  <conditionalFormatting sqref="O34">
    <cfRule type="cellIs" dxfId="287" priority="31" operator="greaterThan">
      <formula>0</formula>
    </cfRule>
  </conditionalFormatting>
  <conditionalFormatting sqref="O32:O33">
    <cfRule type="cellIs" dxfId="286" priority="30" operator="greaterThan">
      <formula>0</formula>
    </cfRule>
  </conditionalFormatting>
  <conditionalFormatting sqref="AG9">
    <cfRule type="notContainsBlanks" dxfId="285" priority="29">
      <formula>LEN(TRIM(AG9))&gt;0</formula>
    </cfRule>
  </conditionalFormatting>
  <conditionalFormatting sqref="N10">
    <cfRule type="cellIs" dxfId="284" priority="28" stopIfTrue="1" operator="equal">
      <formula>""</formula>
    </cfRule>
  </conditionalFormatting>
  <conditionalFormatting sqref="N11:N18">
    <cfRule type="cellIs" dxfId="283" priority="27" stopIfTrue="1" operator="equal">
      <formula>""</formula>
    </cfRule>
  </conditionalFormatting>
  <conditionalFormatting sqref="N32">
    <cfRule type="cellIs" dxfId="282" priority="23" stopIfTrue="1" operator="equal">
      <formula>""</formula>
    </cfRule>
  </conditionalFormatting>
  <conditionalFormatting sqref="N33">
    <cfRule type="cellIs" dxfId="281" priority="22" stopIfTrue="1" operator="equal">
      <formula>""</formula>
    </cfRule>
  </conditionalFormatting>
  <conditionalFormatting sqref="N34">
    <cfRule type="cellIs" dxfId="280" priority="21" stopIfTrue="1" operator="equal">
      <formula>""</formula>
    </cfRule>
  </conditionalFormatting>
  <conditionalFormatting sqref="T31:AE31">
    <cfRule type="cellIs" dxfId="279" priority="20" stopIfTrue="1" operator="equal">
      <formula>""</formula>
    </cfRule>
  </conditionalFormatting>
  <conditionalFormatting sqref="T32:AE32">
    <cfRule type="cellIs" dxfId="278" priority="19" stopIfTrue="1" operator="equal">
      <formula>""</formula>
    </cfRule>
  </conditionalFormatting>
  <conditionalFormatting sqref="T33:AE33">
    <cfRule type="cellIs" dxfId="277" priority="18" stopIfTrue="1" operator="equal">
      <formula>""</formula>
    </cfRule>
  </conditionalFormatting>
  <conditionalFormatting sqref="N24:N30">
    <cfRule type="cellIs" dxfId="276" priority="17" stopIfTrue="1" operator="equal">
      <formula>""</formula>
    </cfRule>
  </conditionalFormatting>
  <conditionalFormatting sqref="I4">
    <cfRule type="cellIs" dxfId="275" priority="12" stopIfTrue="1" operator="equal">
      <formula>""</formula>
    </cfRule>
  </conditionalFormatting>
  <conditionalFormatting sqref="C3">
    <cfRule type="cellIs" dxfId="274" priority="11" stopIfTrue="1" operator="equal">
      <formula>""</formula>
    </cfRule>
  </conditionalFormatting>
  <conditionalFormatting sqref="C4">
    <cfRule type="cellIs" dxfId="273" priority="10" stopIfTrue="1" operator="equal">
      <formula>""</formula>
    </cfRule>
  </conditionalFormatting>
  <conditionalFormatting sqref="N20">
    <cfRule type="cellIs" dxfId="272" priority="9" stopIfTrue="1" operator="equal">
      <formula>""</formula>
    </cfRule>
  </conditionalFormatting>
  <conditionalFormatting sqref="N21">
    <cfRule type="cellIs" dxfId="271" priority="8" stopIfTrue="1" operator="equal">
      <formula>""</formula>
    </cfRule>
  </conditionalFormatting>
  <conditionalFormatting sqref="N22">
    <cfRule type="cellIs" dxfId="270" priority="7" stopIfTrue="1" operator="equal">
      <formula>""</formula>
    </cfRule>
  </conditionalFormatting>
  <conditionalFormatting sqref="T4">
    <cfRule type="cellIs" dxfId="269" priority="1" stopIfTrue="1" operator="equal">
      <formula>""</formula>
    </cfRule>
  </conditionalFormatting>
  <dataValidations count="1">
    <dataValidation type="list" allowBlank="1" showInputMessage="1" showErrorMessage="1" sqref="S4:S5" xr:uid="{E59EAB3A-5560-4548-8634-4B30285DB156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C941-FB27-47EC-8B89-259BCE66EFB1}">
  <sheetPr>
    <tabColor rgb="FFFFCCFF"/>
  </sheetPr>
  <dimension ref="A1:AS58"/>
  <sheetViews>
    <sheetView showGridLines="0" topLeftCell="A29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224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307</v>
      </c>
      <c r="D4" s="466"/>
      <c r="E4" s="466"/>
      <c r="F4" s="466"/>
      <c r="G4" s="466"/>
      <c r="H4" s="467" t="s">
        <v>8</v>
      </c>
      <c r="I4" s="466">
        <v>84902639616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1</v>
      </c>
      <c r="U4" s="471"/>
      <c r="V4" s="472"/>
      <c r="W4" s="482" t="str">
        <f>IF(T4=1,"A",IF(T4&gt;=0.8,"B",IF(T4&gt;=0.7,"C",IF(O36&lt;0.7,"D"))))</f>
        <v>A</v>
      </c>
      <c r="X4" s="483"/>
      <c r="Y4" s="75"/>
      <c r="Z4" s="486">
        <f>AVERAGE(T34:AE34)</f>
        <v>0.96904761904761905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1</v>
      </c>
      <c r="O32" s="255">
        <f>N32*10</f>
        <v>10</v>
      </c>
      <c r="P32" s="393">
        <f>SUM(O32:O34)</f>
        <v>10</v>
      </c>
      <c r="Q32" s="394"/>
      <c r="S32" s="266" t="s">
        <v>68</v>
      </c>
      <c r="T32" s="267">
        <v>40</v>
      </c>
      <c r="U32" s="272">
        <v>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10</v>
      </c>
      <c r="U33" s="272">
        <v>0</v>
      </c>
      <c r="V33" s="272">
        <v>10</v>
      </c>
      <c r="W33" s="272">
        <v>10</v>
      </c>
      <c r="X33" s="272">
        <v>5</v>
      </c>
      <c r="Y33" s="272">
        <v>10</v>
      </c>
      <c r="Z33" s="272">
        <v>10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1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1</v>
      </c>
      <c r="W34" s="270">
        <f t="shared" si="1"/>
        <v>1</v>
      </c>
      <c r="X34" s="270">
        <f t="shared" si="1"/>
        <v>0.95</v>
      </c>
      <c r="Y34" s="270">
        <f t="shared" si="1"/>
        <v>1</v>
      </c>
      <c r="Z34" s="270">
        <f t="shared" si="1"/>
        <v>1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100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A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A</v>
      </c>
      <c r="W35" s="15" t="str">
        <f t="shared" si="2"/>
        <v>A</v>
      </c>
      <c r="X35" s="15" t="str">
        <f t="shared" si="2"/>
        <v>B</v>
      </c>
      <c r="Y35" s="15" t="str">
        <f t="shared" si="2"/>
        <v>A</v>
      </c>
      <c r="Z35" s="15" t="str">
        <f t="shared" si="2"/>
        <v>A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268" priority="32" operator="greaterThan">
      <formula>0</formula>
    </cfRule>
  </conditionalFormatting>
  <conditionalFormatting sqref="O34">
    <cfRule type="cellIs" dxfId="267" priority="31" operator="greaterThan">
      <formula>0</formula>
    </cfRule>
  </conditionalFormatting>
  <conditionalFormatting sqref="O32:O33">
    <cfRule type="cellIs" dxfId="266" priority="30" operator="greaterThan">
      <formula>0</formula>
    </cfRule>
  </conditionalFormatting>
  <conditionalFormatting sqref="AG9">
    <cfRule type="notContainsBlanks" dxfId="265" priority="29">
      <formula>LEN(TRIM(AG9))&gt;0</formula>
    </cfRule>
  </conditionalFormatting>
  <conditionalFormatting sqref="N10">
    <cfRule type="cellIs" dxfId="264" priority="28" stopIfTrue="1" operator="equal">
      <formula>""</formula>
    </cfRule>
  </conditionalFormatting>
  <conditionalFormatting sqref="N11:N18">
    <cfRule type="cellIs" dxfId="263" priority="27" stopIfTrue="1" operator="equal">
      <formula>""</formula>
    </cfRule>
  </conditionalFormatting>
  <conditionalFormatting sqref="N32">
    <cfRule type="cellIs" dxfId="262" priority="23" stopIfTrue="1" operator="equal">
      <formula>""</formula>
    </cfRule>
  </conditionalFormatting>
  <conditionalFormatting sqref="N33">
    <cfRule type="cellIs" dxfId="261" priority="22" stopIfTrue="1" operator="equal">
      <formula>""</formula>
    </cfRule>
  </conditionalFormatting>
  <conditionalFormatting sqref="N34">
    <cfRule type="cellIs" dxfId="260" priority="21" stopIfTrue="1" operator="equal">
      <formula>""</formula>
    </cfRule>
  </conditionalFormatting>
  <conditionalFormatting sqref="T31:AE31">
    <cfRule type="cellIs" dxfId="259" priority="20" stopIfTrue="1" operator="equal">
      <formula>""</formula>
    </cfRule>
  </conditionalFormatting>
  <conditionalFormatting sqref="T32:AE32">
    <cfRule type="cellIs" dxfId="258" priority="19" stopIfTrue="1" operator="equal">
      <formula>""</formula>
    </cfRule>
  </conditionalFormatting>
  <conditionalFormatting sqref="T33:AE33">
    <cfRule type="cellIs" dxfId="257" priority="18" stopIfTrue="1" operator="equal">
      <formula>""</formula>
    </cfRule>
  </conditionalFormatting>
  <conditionalFormatting sqref="N24:N30">
    <cfRule type="cellIs" dxfId="256" priority="17" stopIfTrue="1" operator="equal">
      <formula>""</formula>
    </cfRule>
  </conditionalFormatting>
  <conditionalFormatting sqref="I4">
    <cfRule type="cellIs" dxfId="255" priority="12" stopIfTrue="1" operator="equal">
      <formula>""</formula>
    </cfRule>
  </conditionalFormatting>
  <conditionalFormatting sqref="C3">
    <cfRule type="cellIs" dxfId="254" priority="11" stopIfTrue="1" operator="equal">
      <formula>""</formula>
    </cfRule>
  </conditionalFormatting>
  <conditionalFormatting sqref="C4">
    <cfRule type="cellIs" dxfId="253" priority="10" stopIfTrue="1" operator="equal">
      <formula>""</formula>
    </cfRule>
  </conditionalFormatting>
  <conditionalFormatting sqref="N20">
    <cfRule type="cellIs" dxfId="252" priority="9" stopIfTrue="1" operator="equal">
      <formula>""</formula>
    </cfRule>
  </conditionalFormatting>
  <conditionalFormatting sqref="N21">
    <cfRule type="cellIs" dxfId="251" priority="8" stopIfTrue="1" operator="equal">
      <formula>""</formula>
    </cfRule>
  </conditionalFormatting>
  <conditionalFormatting sqref="N22">
    <cfRule type="cellIs" dxfId="250" priority="7" stopIfTrue="1" operator="equal">
      <formula>""</formula>
    </cfRule>
  </conditionalFormatting>
  <conditionalFormatting sqref="T4">
    <cfRule type="cellIs" dxfId="249" priority="1" stopIfTrue="1" operator="equal">
      <formula>""</formula>
    </cfRule>
  </conditionalFormatting>
  <dataValidations count="1">
    <dataValidation type="list" allowBlank="1" showInputMessage="1" showErrorMessage="1" sqref="S4:S5" xr:uid="{0AF4772F-4DFD-446F-A725-E69521734D03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4903-731D-447E-B907-7417F441964A}">
  <sheetPr>
    <tabColor rgb="FFFFCCFF"/>
  </sheetPr>
  <dimension ref="A1:AS58"/>
  <sheetViews>
    <sheetView showGridLines="0" topLeftCell="A34" zoomScale="85" zoomScaleNormal="85" workbookViewId="0">
      <selection activeCell="Y60" sqref="Y60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308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309</v>
      </c>
      <c r="D4" s="466"/>
      <c r="E4" s="466"/>
      <c r="F4" s="466"/>
      <c r="G4" s="466"/>
      <c r="H4" s="467" t="s">
        <v>8</v>
      </c>
      <c r="I4" s="466" t="s">
        <v>310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0.92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2</v>
      </c>
      <c r="W33" s="272">
        <v>2</v>
      </c>
      <c r="X33" s="272">
        <v>2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0.92</v>
      </c>
      <c r="W34" s="270">
        <f t="shared" si="1"/>
        <v>0.92</v>
      </c>
      <c r="X34" s="270">
        <f t="shared" si="1"/>
        <v>0.92</v>
      </c>
      <c r="Y34" s="270">
        <f t="shared" si="1"/>
        <v>0.92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248" priority="32" operator="greaterThan">
      <formula>0</formula>
    </cfRule>
  </conditionalFormatting>
  <conditionalFormatting sqref="O34">
    <cfRule type="cellIs" dxfId="247" priority="31" operator="greaterThan">
      <formula>0</formula>
    </cfRule>
  </conditionalFormatting>
  <conditionalFormatting sqref="O32:O33">
    <cfRule type="cellIs" dxfId="246" priority="30" operator="greaterThan">
      <formula>0</formula>
    </cfRule>
  </conditionalFormatting>
  <conditionalFormatting sqref="AG9">
    <cfRule type="notContainsBlanks" dxfId="245" priority="29">
      <formula>LEN(TRIM(AG9))&gt;0</formula>
    </cfRule>
  </conditionalFormatting>
  <conditionalFormatting sqref="N10">
    <cfRule type="cellIs" dxfId="244" priority="28" stopIfTrue="1" operator="equal">
      <formula>""</formula>
    </cfRule>
  </conditionalFormatting>
  <conditionalFormatting sqref="N11:N18">
    <cfRule type="cellIs" dxfId="243" priority="27" stopIfTrue="1" operator="equal">
      <formula>""</formula>
    </cfRule>
  </conditionalFormatting>
  <conditionalFormatting sqref="N32">
    <cfRule type="cellIs" dxfId="242" priority="23" stopIfTrue="1" operator="equal">
      <formula>""</formula>
    </cfRule>
  </conditionalFormatting>
  <conditionalFormatting sqref="N33">
    <cfRule type="cellIs" dxfId="241" priority="22" stopIfTrue="1" operator="equal">
      <formula>""</formula>
    </cfRule>
  </conditionalFormatting>
  <conditionalFormatting sqref="N34">
    <cfRule type="cellIs" dxfId="240" priority="21" stopIfTrue="1" operator="equal">
      <formula>""</formula>
    </cfRule>
  </conditionalFormatting>
  <conditionalFormatting sqref="T31:AE31">
    <cfRule type="cellIs" dxfId="239" priority="20" stopIfTrue="1" operator="equal">
      <formula>""</formula>
    </cfRule>
  </conditionalFormatting>
  <conditionalFormatting sqref="T32:AE32">
    <cfRule type="cellIs" dxfId="238" priority="19" stopIfTrue="1" operator="equal">
      <formula>""</formula>
    </cfRule>
  </conditionalFormatting>
  <conditionalFormatting sqref="T33:AE33">
    <cfRule type="cellIs" dxfId="237" priority="18" stopIfTrue="1" operator="equal">
      <formula>""</formula>
    </cfRule>
  </conditionalFormatting>
  <conditionalFormatting sqref="N24:N30">
    <cfRule type="cellIs" dxfId="236" priority="17" stopIfTrue="1" operator="equal">
      <formula>""</formula>
    </cfRule>
  </conditionalFormatting>
  <conditionalFormatting sqref="I4">
    <cfRule type="cellIs" dxfId="235" priority="12" stopIfTrue="1" operator="equal">
      <formula>""</formula>
    </cfRule>
  </conditionalFormatting>
  <conditionalFormatting sqref="C3">
    <cfRule type="cellIs" dxfId="234" priority="11" stopIfTrue="1" operator="equal">
      <formula>""</formula>
    </cfRule>
  </conditionalFormatting>
  <conditionalFormatting sqref="C4">
    <cfRule type="cellIs" dxfId="233" priority="10" stopIfTrue="1" operator="equal">
      <formula>""</formula>
    </cfRule>
  </conditionalFormatting>
  <conditionalFormatting sqref="N20">
    <cfRule type="cellIs" dxfId="232" priority="9" stopIfTrue="1" operator="equal">
      <formula>""</formula>
    </cfRule>
  </conditionalFormatting>
  <conditionalFormatting sqref="N21">
    <cfRule type="cellIs" dxfId="231" priority="8" stopIfTrue="1" operator="equal">
      <formula>""</formula>
    </cfRule>
  </conditionalFormatting>
  <conditionalFormatting sqref="N22">
    <cfRule type="cellIs" dxfId="230" priority="7" stopIfTrue="1" operator="equal">
      <formula>""</formula>
    </cfRule>
  </conditionalFormatting>
  <conditionalFormatting sqref="T4">
    <cfRule type="cellIs" dxfId="229" priority="1" stopIfTrue="1" operator="equal">
      <formula>""</formula>
    </cfRule>
  </conditionalFormatting>
  <dataValidations count="1">
    <dataValidation type="list" allowBlank="1" showInputMessage="1" showErrorMessage="1" sqref="S4:S5" xr:uid="{FD6341E3-12B8-46DE-984C-4C25322A5A70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D757-2535-4403-A97D-C476636F948A}">
  <sheetPr>
    <tabColor rgb="FFFFCCFF"/>
  </sheetPr>
  <dimension ref="A1:AS58"/>
  <sheetViews>
    <sheetView showGridLines="0" topLeftCell="A28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215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311</v>
      </c>
      <c r="D4" s="466"/>
      <c r="E4" s="466"/>
      <c r="F4" s="466"/>
      <c r="G4" s="466"/>
      <c r="H4" s="467" t="s">
        <v>8</v>
      </c>
      <c r="I4" s="466" t="s">
        <v>312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0.95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0.9642857142857143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5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1</v>
      </c>
      <c r="O33" s="255">
        <f>N33*5</f>
        <v>5</v>
      </c>
      <c r="P33" s="395"/>
      <c r="Q33" s="396"/>
      <c r="S33" s="269" t="s">
        <v>71</v>
      </c>
      <c r="T33" s="267">
        <v>5</v>
      </c>
      <c r="U33" s="272">
        <v>10</v>
      </c>
      <c r="V33" s="272">
        <v>5</v>
      </c>
      <c r="W33" s="272">
        <v>5</v>
      </c>
      <c r="X33" s="272">
        <v>5</v>
      </c>
      <c r="Y33" s="272">
        <v>10</v>
      </c>
      <c r="Z33" s="272">
        <v>5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0.95</v>
      </c>
      <c r="U34" s="270">
        <f>IF(ISBLANK(U31),"-",(U31+U32+U33)/(IF(U32&gt;0,100,60)))</f>
        <v>1</v>
      </c>
      <c r="V34" s="270">
        <f t="shared" ref="V34:AE34" si="1">IF(ISBLANK(V31),"-",(V31+V32+V33)/(IF(V32&gt;0,100,60)))</f>
        <v>0.95</v>
      </c>
      <c r="W34" s="270">
        <f t="shared" si="1"/>
        <v>0.95</v>
      </c>
      <c r="X34" s="270">
        <f t="shared" si="1"/>
        <v>0.95</v>
      </c>
      <c r="Y34" s="270">
        <f t="shared" si="1"/>
        <v>1</v>
      </c>
      <c r="Z34" s="270">
        <f t="shared" si="1"/>
        <v>0.95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95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A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A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228" priority="29" operator="greaterThan">
      <formula>0</formula>
    </cfRule>
  </conditionalFormatting>
  <conditionalFormatting sqref="O34">
    <cfRule type="cellIs" dxfId="227" priority="28" operator="greaterThan">
      <formula>0</formula>
    </cfRule>
  </conditionalFormatting>
  <conditionalFormatting sqref="O32:O33">
    <cfRule type="cellIs" dxfId="226" priority="27" operator="greaterThan">
      <formula>0</formula>
    </cfRule>
  </conditionalFormatting>
  <conditionalFormatting sqref="AG9">
    <cfRule type="notContainsBlanks" dxfId="225" priority="26">
      <formula>LEN(TRIM(AG9))&gt;0</formula>
    </cfRule>
  </conditionalFormatting>
  <conditionalFormatting sqref="N10">
    <cfRule type="cellIs" dxfId="224" priority="25" stopIfTrue="1" operator="equal">
      <formula>""</formula>
    </cfRule>
  </conditionalFormatting>
  <conditionalFormatting sqref="N11:N18">
    <cfRule type="cellIs" dxfId="223" priority="24" stopIfTrue="1" operator="equal">
      <formula>""</formula>
    </cfRule>
  </conditionalFormatting>
  <conditionalFormatting sqref="N20">
    <cfRule type="cellIs" dxfId="222" priority="23" stopIfTrue="1" operator="equal">
      <formula>""</formula>
    </cfRule>
  </conditionalFormatting>
  <conditionalFormatting sqref="N21">
    <cfRule type="cellIs" dxfId="221" priority="22" stopIfTrue="1" operator="equal">
      <formula>""</formula>
    </cfRule>
  </conditionalFormatting>
  <conditionalFormatting sqref="N22">
    <cfRule type="cellIs" dxfId="220" priority="21" stopIfTrue="1" operator="equal">
      <formula>""</formula>
    </cfRule>
  </conditionalFormatting>
  <conditionalFormatting sqref="N32">
    <cfRule type="cellIs" dxfId="219" priority="20" stopIfTrue="1" operator="equal">
      <formula>""</formula>
    </cfRule>
  </conditionalFormatting>
  <conditionalFormatting sqref="N33">
    <cfRule type="cellIs" dxfId="218" priority="19" stopIfTrue="1" operator="equal">
      <formula>""</formula>
    </cfRule>
  </conditionalFormatting>
  <conditionalFormatting sqref="N34">
    <cfRule type="cellIs" dxfId="217" priority="18" stopIfTrue="1" operator="equal">
      <formula>""</formula>
    </cfRule>
  </conditionalFormatting>
  <conditionalFormatting sqref="T31:AE31">
    <cfRule type="cellIs" dxfId="216" priority="17" stopIfTrue="1" operator="equal">
      <formula>""</formula>
    </cfRule>
  </conditionalFormatting>
  <conditionalFormatting sqref="T32:AE32">
    <cfRule type="cellIs" dxfId="215" priority="16" stopIfTrue="1" operator="equal">
      <formula>""</formula>
    </cfRule>
  </conditionalFormatting>
  <conditionalFormatting sqref="T33:AE33">
    <cfRule type="cellIs" dxfId="214" priority="15" stopIfTrue="1" operator="equal">
      <formula>""</formula>
    </cfRule>
  </conditionalFormatting>
  <conditionalFormatting sqref="N24:N30">
    <cfRule type="cellIs" dxfId="213" priority="14" stopIfTrue="1" operator="equal">
      <formula>""</formula>
    </cfRule>
  </conditionalFormatting>
  <conditionalFormatting sqref="I4">
    <cfRule type="cellIs" dxfId="212" priority="9" stopIfTrue="1" operator="equal">
      <formula>""</formula>
    </cfRule>
  </conditionalFormatting>
  <conditionalFormatting sqref="C3">
    <cfRule type="cellIs" dxfId="211" priority="8" stopIfTrue="1" operator="equal">
      <formula>""</formula>
    </cfRule>
  </conditionalFormatting>
  <conditionalFormatting sqref="C4">
    <cfRule type="cellIs" dxfId="210" priority="7" stopIfTrue="1" operator="equal">
      <formula>""</formula>
    </cfRule>
  </conditionalFormatting>
  <conditionalFormatting sqref="T4">
    <cfRule type="cellIs" dxfId="209" priority="1" stopIfTrue="1" operator="equal">
      <formula>""</formula>
    </cfRule>
  </conditionalFormatting>
  <dataValidations count="1">
    <dataValidation type="list" allowBlank="1" showInputMessage="1" showErrorMessage="1" sqref="S4:S5" xr:uid="{77527955-B38E-4540-BA88-6611FFBEB4EB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69CB-8DF3-49EC-8ED7-A1736B539D4B}">
  <sheetPr>
    <tabColor rgb="FFFFCCFF"/>
  </sheetPr>
  <dimension ref="A1:AS58"/>
  <sheetViews>
    <sheetView showGridLines="0" tabSelected="1" zoomScale="85" zoomScaleNormal="85" workbookViewId="0">
      <selection activeCell="C6" sqref="C6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209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313</v>
      </c>
      <c r="D4" s="466"/>
      <c r="E4" s="466"/>
      <c r="F4" s="466"/>
      <c r="G4" s="466"/>
      <c r="H4" s="467" t="s">
        <v>8</v>
      </c>
      <c r="I4" s="466" t="s">
        <v>314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0.92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2</v>
      </c>
      <c r="W33" s="272">
        <v>2</v>
      </c>
      <c r="X33" s="272">
        <v>2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0.92</v>
      </c>
      <c r="V34" s="270">
        <f t="shared" ref="V34:AE34" si="1">IF(ISBLANK(V31),"-",(V31+V32+V33)/(IF(V32&gt;0,100,60)))</f>
        <v>0.92</v>
      </c>
      <c r="W34" s="270">
        <f t="shared" si="1"/>
        <v>0.92</v>
      </c>
      <c r="X34" s="270">
        <f t="shared" si="1"/>
        <v>0.92</v>
      </c>
      <c r="Y34" s="270">
        <f t="shared" si="1"/>
        <v>0.92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208" priority="32" operator="greaterThan">
      <formula>0</formula>
    </cfRule>
  </conditionalFormatting>
  <conditionalFormatting sqref="O34">
    <cfRule type="cellIs" dxfId="207" priority="31" operator="greaterThan">
      <formula>0</formula>
    </cfRule>
  </conditionalFormatting>
  <conditionalFormatting sqref="O32:O33">
    <cfRule type="cellIs" dxfId="206" priority="30" operator="greaterThan">
      <formula>0</formula>
    </cfRule>
  </conditionalFormatting>
  <conditionalFormatting sqref="AG9">
    <cfRule type="notContainsBlanks" dxfId="205" priority="29">
      <formula>LEN(TRIM(AG9))&gt;0</formula>
    </cfRule>
  </conditionalFormatting>
  <conditionalFormatting sqref="N10">
    <cfRule type="cellIs" dxfId="204" priority="28" stopIfTrue="1" operator="equal">
      <formula>""</formula>
    </cfRule>
  </conditionalFormatting>
  <conditionalFormatting sqref="N11:N18">
    <cfRule type="cellIs" dxfId="203" priority="27" stopIfTrue="1" operator="equal">
      <formula>""</formula>
    </cfRule>
  </conditionalFormatting>
  <conditionalFormatting sqref="N32">
    <cfRule type="cellIs" dxfId="202" priority="23" stopIfTrue="1" operator="equal">
      <formula>""</formula>
    </cfRule>
  </conditionalFormatting>
  <conditionalFormatting sqref="N33">
    <cfRule type="cellIs" dxfId="201" priority="22" stopIfTrue="1" operator="equal">
      <formula>""</formula>
    </cfRule>
  </conditionalFormatting>
  <conditionalFormatting sqref="N34">
    <cfRule type="cellIs" dxfId="200" priority="21" stopIfTrue="1" operator="equal">
      <formula>""</formula>
    </cfRule>
  </conditionalFormatting>
  <conditionalFormatting sqref="T31:AE31">
    <cfRule type="cellIs" dxfId="199" priority="20" stopIfTrue="1" operator="equal">
      <formula>""</formula>
    </cfRule>
  </conditionalFormatting>
  <conditionalFormatting sqref="T32:AE32">
    <cfRule type="cellIs" dxfId="198" priority="19" stopIfTrue="1" operator="equal">
      <formula>""</formula>
    </cfRule>
  </conditionalFormatting>
  <conditionalFormatting sqref="T33:AE33">
    <cfRule type="cellIs" dxfId="197" priority="18" stopIfTrue="1" operator="equal">
      <formula>""</formula>
    </cfRule>
  </conditionalFormatting>
  <conditionalFormatting sqref="N24:N30">
    <cfRule type="cellIs" dxfId="196" priority="17" stopIfTrue="1" operator="equal">
      <formula>""</formula>
    </cfRule>
  </conditionalFormatting>
  <conditionalFormatting sqref="I4">
    <cfRule type="cellIs" dxfId="195" priority="12" stopIfTrue="1" operator="equal">
      <formula>""</formula>
    </cfRule>
  </conditionalFormatting>
  <conditionalFormatting sqref="C3">
    <cfRule type="cellIs" dxfId="194" priority="11" stopIfTrue="1" operator="equal">
      <formula>""</formula>
    </cfRule>
  </conditionalFormatting>
  <conditionalFormatting sqref="C4">
    <cfRule type="cellIs" dxfId="193" priority="10" stopIfTrue="1" operator="equal">
      <formula>""</formula>
    </cfRule>
  </conditionalFormatting>
  <conditionalFormatting sqref="N20">
    <cfRule type="cellIs" dxfId="192" priority="9" stopIfTrue="1" operator="equal">
      <formula>""</formula>
    </cfRule>
  </conditionalFormatting>
  <conditionalFormatting sqref="N21">
    <cfRule type="cellIs" dxfId="191" priority="8" stopIfTrue="1" operator="equal">
      <formula>""</formula>
    </cfRule>
  </conditionalFormatting>
  <conditionalFormatting sqref="N22">
    <cfRule type="cellIs" dxfId="190" priority="7" stopIfTrue="1" operator="equal">
      <formula>""</formula>
    </cfRule>
  </conditionalFormatting>
  <conditionalFormatting sqref="T4">
    <cfRule type="cellIs" dxfId="189" priority="1" stopIfTrue="1" operator="equal">
      <formula>""</formula>
    </cfRule>
  </conditionalFormatting>
  <dataValidations count="1">
    <dataValidation type="list" allowBlank="1" showInputMessage="1" showErrorMessage="1" sqref="S4:S5" xr:uid="{52BD0A83-D7BC-4639-A2A3-C7114A802F5A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064C-C146-42BF-970C-CB13EE304B7C}">
  <sheetPr>
    <tabColor rgb="FFFFCCFF"/>
  </sheetPr>
  <dimension ref="A1:AS58"/>
  <sheetViews>
    <sheetView showGridLines="0" topLeftCell="A37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315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316</v>
      </c>
      <c r="D4" s="466"/>
      <c r="E4" s="466"/>
      <c r="F4" s="466"/>
      <c r="G4" s="466"/>
      <c r="H4" s="467" t="s">
        <v>8</v>
      </c>
      <c r="I4" s="466" t="s">
        <v>317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0.90571428571428569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44</v>
      </c>
      <c r="U31" s="272">
        <v>46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2</v>
      </c>
      <c r="W33" s="272">
        <v>2</v>
      </c>
      <c r="X33" s="272">
        <v>2</v>
      </c>
      <c r="Y33" s="272">
        <v>2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0.86</v>
      </c>
      <c r="U34" s="270">
        <f>IF(ISBLANK(U31),"-",(U31+U32+U33)/(IF(U32&gt;0,100,60)))</f>
        <v>0.88</v>
      </c>
      <c r="V34" s="270">
        <f t="shared" ref="V34:AE34" si="1">IF(ISBLANK(V31),"-",(V31+V32+V33)/(IF(V32&gt;0,100,60)))</f>
        <v>0.92</v>
      </c>
      <c r="W34" s="270">
        <f t="shared" si="1"/>
        <v>0.92</v>
      </c>
      <c r="X34" s="270">
        <f t="shared" si="1"/>
        <v>0.92</v>
      </c>
      <c r="Y34" s="270">
        <f t="shared" si="1"/>
        <v>0.92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564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188" priority="32" operator="greaterThan">
      <formula>0</formula>
    </cfRule>
  </conditionalFormatting>
  <conditionalFormatting sqref="O34">
    <cfRule type="cellIs" dxfId="187" priority="31" operator="greaterThan">
      <formula>0</formula>
    </cfRule>
  </conditionalFormatting>
  <conditionalFormatting sqref="O32:O33">
    <cfRule type="cellIs" dxfId="186" priority="30" operator="greaterThan">
      <formula>0</formula>
    </cfRule>
  </conditionalFormatting>
  <conditionalFormatting sqref="AG9">
    <cfRule type="notContainsBlanks" dxfId="185" priority="29">
      <formula>LEN(TRIM(AG9))&gt;0</formula>
    </cfRule>
  </conditionalFormatting>
  <conditionalFormatting sqref="N10">
    <cfRule type="cellIs" dxfId="184" priority="28" stopIfTrue="1" operator="equal">
      <formula>""</formula>
    </cfRule>
  </conditionalFormatting>
  <conditionalFormatting sqref="N11:N18">
    <cfRule type="cellIs" dxfId="183" priority="27" stopIfTrue="1" operator="equal">
      <formula>""</formula>
    </cfRule>
  </conditionalFormatting>
  <conditionalFormatting sqref="N32">
    <cfRule type="cellIs" dxfId="182" priority="23" stopIfTrue="1" operator="equal">
      <formula>""</formula>
    </cfRule>
  </conditionalFormatting>
  <conditionalFormatting sqref="N33">
    <cfRule type="cellIs" dxfId="181" priority="22" stopIfTrue="1" operator="equal">
      <formula>""</formula>
    </cfRule>
  </conditionalFormatting>
  <conditionalFormatting sqref="N34">
    <cfRule type="cellIs" dxfId="180" priority="21" stopIfTrue="1" operator="equal">
      <formula>""</formula>
    </cfRule>
  </conditionalFormatting>
  <conditionalFormatting sqref="T31:AE31">
    <cfRule type="cellIs" dxfId="179" priority="20" stopIfTrue="1" operator="equal">
      <formula>""</formula>
    </cfRule>
  </conditionalFormatting>
  <conditionalFormatting sqref="T32:AE32">
    <cfRule type="cellIs" dxfId="178" priority="19" stopIfTrue="1" operator="equal">
      <formula>""</formula>
    </cfRule>
  </conditionalFormatting>
  <conditionalFormatting sqref="T33:AE33">
    <cfRule type="cellIs" dxfId="177" priority="18" stopIfTrue="1" operator="equal">
      <formula>""</formula>
    </cfRule>
  </conditionalFormatting>
  <conditionalFormatting sqref="N24:N30">
    <cfRule type="cellIs" dxfId="176" priority="17" stopIfTrue="1" operator="equal">
      <formula>""</formula>
    </cfRule>
  </conditionalFormatting>
  <conditionalFormatting sqref="I4">
    <cfRule type="cellIs" dxfId="175" priority="12" stopIfTrue="1" operator="equal">
      <formula>""</formula>
    </cfRule>
  </conditionalFormatting>
  <conditionalFormatting sqref="C3">
    <cfRule type="cellIs" dxfId="174" priority="11" stopIfTrue="1" operator="equal">
      <formula>""</formula>
    </cfRule>
  </conditionalFormatting>
  <conditionalFormatting sqref="C4">
    <cfRule type="cellIs" dxfId="173" priority="10" stopIfTrue="1" operator="equal">
      <formula>""</formula>
    </cfRule>
  </conditionalFormatting>
  <conditionalFormatting sqref="N20">
    <cfRule type="cellIs" dxfId="172" priority="9" stopIfTrue="1" operator="equal">
      <formula>""</formula>
    </cfRule>
  </conditionalFormatting>
  <conditionalFormatting sqref="N21">
    <cfRule type="cellIs" dxfId="171" priority="8" stopIfTrue="1" operator="equal">
      <formula>""</formula>
    </cfRule>
  </conditionalFormatting>
  <conditionalFormatting sqref="N22">
    <cfRule type="cellIs" dxfId="170" priority="7" stopIfTrue="1" operator="equal">
      <formula>""</formula>
    </cfRule>
  </conditionalFormatting>
  <conditionalFormatting sqref="T4">
    <cfRule type="cellIs" dxfId="169" priority="1" stopIfTrue="1" operator="equal">
      <formula>""</formula>
    </cfRule>
  </conditionalFormatting>
  <dataValidations count="1">
    <dataValidation type="list" allowBlank="1" showInputMessage="1" showErrorMessage="1" sqref="S4:S5" xr:uid="{EB011D82-5BC2-472A-849F-56E3570488CD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1BEB-E27D-4DA9-9C59-96066C5D7642}">
  <sheetPr>
    <tabColor rgb="FFFFCCFF"/>
  </sheetPr>
  <dimension ref="A1:AS58"/>
  <sheetViews>
    <sheetView showGridLines="0" topLeftCell="A26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318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319</v>
      </c>
      <c r="D4" s="466"/>
      <c r="E4" s="466"/>
      <c r="F4" s="466"/>
      <c r="G4" s="466"/>
      <c r="H4" s="467" t="s">
        <v>8</v>
      </c>
      <c r="I4" s="466" t="s">
        <v>320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1</v>
      </c>
      <c r="U4" s="471"/>
      <c r="V4" s="472"/>
      <c r="W4" s="482" t="str">
        <f>IF(T4=1,"A",IF(T4&gt;=0.8,"B",IF(T4&gt;=0.7,"C",IF(O36&lt;0.7,"D"))))</f>
        <v>A</v>
      </c>
      <c r="X4" s="483"/>
      <c r="Y4" s="75"/>
      <c r="Z4" s="486">
        <f>AVERAGE(T34:AE34)</f>
        <v>0.99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1</v>
      </c>
      <c r="O32" s="255">
        <f>N32*10</f>
        <v>10</v>
      </c>
      <c r="P32" s="393">
        <f>SUM(O32:O34)</f>
        <v>10</v>
      </c>
      <c r="Q32" s="394"/>
      <c r="S32" s="266" t="s">
        <v>68</v>
      </c>
      <c r="T32" s="267">
        <v>40</v>
      </c>
      <c r="U32" s="272">
        <v>39</v>
      </c>
      <c r="V32" s="272">
        <v>39</v>
      </c>
      <c r="W32" s="272">
        <v>40</v>
      </c>
      <c r="X32" s="272">
        <v>38</v>
      </c>
      <c r="Y32" s="272">
        <v>37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10</v>
      </c>
      <c r="U33" s="272">
        <v>10</v>
      </c>
      <c r="V33" s="272">
        <v>10</v>
      </c>
      <c r="W33" s="272">
        <v>10</v>
      </c>
      <c r="X33" s="272">
        <v>10</v>
      </c>
      <c r="Y33" s="272">
        <v>10</v>
      </c>
      <c r="Z33" s="272">
        <v>10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1</v>
      </c>
      <c r="U34" s="270">
        <f>IF(ISBLANK(U31),"-",(U31+U32+U33)/(IF(U32&gt;0,100,60)))</f>
        <v>0.99</v>
      </c>
      <c r="V34" s="270">
        <f t="shared" ref="V34:AE34" si="1">IF(ISBLANK(V31),"-",(V31+V32+V33)/(IF(V32&gt;0,100,60)))</f>
        <v>0.99</v>
      </c>
      <c r="W34" s="270">
        <f t="shared" si="1"/>
        <v>1</v>
      </c>
      <c r="X34" s="270">
        <f t="shared" si="1"/>
        <v>0.98</v>
      </c>
      <c r="Y34" s="270">
        <f t="shared" si="1"/>
        <v>0.97</v>
      </c>
      <c r="Z34" s="270">
        <f t="shared" si="1"/>
        <v>1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100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A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A</v>
      </c>
      <c r="X35" s="15" t="str">
        <f t="shared" si="2"/>
        <v>B</v>
      </c>
      <c r="Y35" s="15" t="str">
        <f t="shared" si="2"/>
        <v>B</v>
      </c>
      <c r="Z35" s="15" t="str">
        <f t="shared" si="2"/>
        <v>A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565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6"/>
      <c r="AG38" s="142"/>
    </row>
    <row r="39" spans="1:39" ht="18" customHeight="1">
      <c r="A39" s="347" t="s">
        <v>79</v>
      </c>
      <c r="B39" s="348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  <c r="AC39" s="566"/>
      <c r="AD39" s="566"/>
      <c r="AE39" s="567"/>
      <c r="AG39" s="17"/>
      <c r="AH39" s="17"/>
      <c r="AI39" s="17"/>
      <c r="AJ39" s="17"/>
      <c r="AK39" s="17"/>
      <c r="AL39" s="17"/>
      <c r="AM39" s="17"/>
    </row>
    <row r="40" spans="1:39" ht="18" customHeight="1">
      <c r="A40" s="347"/>
      <c r="B40" s="348"/>
      <c r="C40" s="566"/>
      <c r="D40" s="566"/>
      <c r="E40" s="566"/>
      <c r="F40" s="566"/>
      <c r="G40" s="566"/>
      <c r="H40" s="566"/>
      <c r="I40" s="566"/>
      <c r="J40" s="566"/>
      <c r="K40" s="566"/>
      <c r="L40" s="566"/>
      <c r="M40" s="566"/>
      <c r="N40" s="566"/>
      <c r="O40" s="566"/>
      <c r="P40" s="566"/>
      <c r="Q40" s="566"/>
      <c r="R40" s="566"/>
      <c r="S40" s="566"/>
      <c r="T40" s="566"/>
      <c r="U40" s="566"/>
      <c r="V40" s="566"/>
      <c r="W40" s="566"/>
      <c r="X40" s="566"/>
      <c r="Y40" s="566"/>
      <c r="Z40" s="566"/>
      <c r="AA40" s="566"/>
      <c r="AB40" s="566"/>
      <c r="AC40" s="566"/>
      <c r="AD40" s="566"/>
      <c r="AE40" s="567"/>
      <c r="AG40" s="17"/>
      <c r="AH40" s="17"/>
      <c r="AI40" s="17"/>
      <c r="AJ40" s="17"/>
      <c r="AK40" s="17"/>
      <c r="AL40" s="17"/>
      <c r="AM40" s="17"/>
    </row>
    <row r="41" spans="1:39" ht="18" customHeight="1">
      <c r="A41" s="62"/>
      <c r="B41" s="63"/>
      <c r="C41" s="566"/>
      <c r="D41" s="566"/>
      <c r="E41" s="566"/>
      <c r="F41" s="566"/>
      <c r="G41" s="566"/>
      <c r="H41" s="566"/>
      <c r="I41" s="566"/>
      <c r="J41" s="566"/>
      <c r="K41" s="566"/>
      <c r="L41" s="566"/>
      <c r="M41" s="566"/>
      <c r="N41" s="566"/>
      <c r="O41" s="566"/>
      <c r="P41" s="566"/>
      <c r="Q41" s="566"/>
      <c r="R41" s="566"/>
      <c r="S41" s="566"/>
      <c r="T41" s="566"/>
      <c r="U41" s="566"/>
      <c r="V41" s="566"/>
      <c r="W41" s="566"/>
      <c r="X41" s="566"/>
      <c r="Y41" s="566"/>
      <c r="Z41" s="566"/>
      <c r="AA41" s="566"/>
      <c r="AB41" s="566"/>
      <c r="AC41" s="566"/>
      <c r="AD41" s="566"/>
      <c r="AE41" s="56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4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D45:D46"/>
    <mergeCell ref="E45:K46"/>
    <mergeCell ref="M45:P46"/>
    <mergeCell ref="Q45:T46"/>
    <mergeCell ref="U45:X46"/>
    <mergeCell ref="C41:AE41"/>
    <mergeCell ref="A39:B39"/>
    <mergeCell ref="C39:AE39"/>
    <mergeCell ref="A40:B40"/>
    <mergeCell ref="A42:B42"/>
    <mergeCell ref="A44:B44"/>
    <mergeCell ref="E44:K44"/>
    <mergeCell ref="M44:X44"/>
    <mergeCell ref="Z44:AE46"/>
    <mergeCell ref="A45:B46"/>
    <mergeCell ref="C38:AE38"/>
    <mergeCell ref="C40:AE40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  <mergeCell ref="C45:C46"/>
  </mergeCells>
  <conditionalFormatting sqref="O24:O30 O10:O18 O20:O22">
    <cfRule type="cellIs" dxfId="168" priority="32" operator="greaterThan">
      <formula>0</formula>
    </cfRule>
  </conditionalFormatting>
  <conditionalFormatting sqref="O34">
    <cfRule type="cellIs" dxfId="167" priority="31" operator="greaterThan">
      <formula>0</formula>
    </cfRule>
  </conditionalFormatting>
  <conditionalFormatting sqref="O32:O33">
    <cfRule type="cellIs" dxfId="166" priority="30" operator="greaterThan">
      <formula>0</formula>
    </cfRule>
  </conditionalFormatting>
  <conditionalFormatting sqref="AG9">
    <cfRule type="notContainsBlanks" dxfId="165" priority="29">
      <formula>LEN(TRIM(AG9))&gt;0</formula>
    </cfRule>
  </conditionalFormatting>
  <conditionalFormatting sqref="N10">
    <cfRule type="cellIs" dxfId="164" priority="28" stopIfTrue="1" operator="equal">
      <formula>""</formula>
    </cfRule>
  </conditionalFormatting>
  <conditionalFormatting sqref="N11:N18">
    <cfRule type="cellIs" dxfId="163" priority="27" stopIfTrue="1" operator="equal">
      <formula>""</formula>
    </cfRule>
  </conditionalFormatting>
  <conditionalFormatting sqref="N32">
    <cfRule type="cellIs" dxfId="162" priority="23" stopIfTrue="1" operator="equal">
      <formula>""</formula>
    </cfRule>
  </conditionalFormatting>
  <conditionalFormatting sqref="N33">
    <cfRule type="cellIs" dxfId="161" priority="22" stopIfTrue="1" operator="equal">
      <formula>""</formula>
    </cfRule>
  </conditionalFormatting>
  <conditionalFormatting sqref="N34">
    <cfRule type="cellIs" dxfId="160" priority="21" stopIfTrue="1" operator="equal">
      <formula>""</formula>
    </cfRule>
  </conditionalFormatting>
  <conditionalFormatting sqref="T31:AE31">
    <cfRule type="cellIs" dxfId="159" priority="20" stopIfTrue="1" operator="equal">
      <formula>""</formula>
    </cfRule>
  </conditionalFormatting>
  <conditionalFormatting sqref="T32:AE32">
    <cfRule type="cellIs" dxfId="158" priority="19" stopIfTrue="1" operator="equal">
      <formula>""</formula>
    </cfRule>
  </conditionalFormatting>
  <conditionalFormatting sqref="T33:AE33">
    <cfRule type="cellIs" dxfId="157" priority="18" stopIfTrue="1" operator="equal">
      <formula>""</formula>
    </cfRule>
  </conditionalFormatting>
  <conditionalFormatting sqref="N24:N30">
    <cfRule type="cellIs" dxfId="156" priority="17" stopIfTrue="1" operator="equal">
      <formula>""</formula>
    </cfRule>
  </conditionalFormatting>
  <conditionalFormatting sqref="I4">
    <cfRule type="cellIs" dxfId="155" priority="12" stopIfTrue="1" operator="equal">
      <formula>""</formula>
    </cfRule>
  </conditionalFormatting>
  <conditionalFormatting sqref="C3">
    <cfRule type="cellIs" dxfId="154" priority="11" stopIfTrue="1" operator="equal">
      <formula>""</formula>
    </cfRule>
  </conditionalFormatting>
  <conditionalFormatting sqref="C4">
    <cfRule type="cellIs" dxfId="153" priority="10" stopIfTrue="1" operator="equal">
      <formula>""</formula>
    </cfRule>
  </conditionalFormatting>
  <conditionalFormatting sqref="N20">
    <cfRule type="cellIs" dxfId="152" priority="9" stopIfTrue="1" operator="equal">
      <formula>""</formula>
    </cfRule>
  </conditionalFormatting>
  <conditionalFormatting sqref="N21">
    <cfRule type="cellIs" dxfId="151" priority="8" stopIfTrue="1" operator="equal">
      <formula>""</formula>
    </cfRule>
  </conditionalFormatting>
  <conditionalFormatting sqref="N22">
    <cfRule type="cellIs" dxfId="150" priority="7" stopIfTrue="1" operator="equal">
      <formula>""</formula>
    </cfRule>
  </conditionalFormatting>
  <conditionalFormatting sqref="T4">
    <cfRule type="cellIs" dxfId="149" priority="1" stopIfTrue="1" operator="equal">
      <formula>""</formula>
    </cfRule>
  </conditionalFormatting>
  <dataValidations count="1">
    <dataValidation type="list" allowBlank="1" showInputMessage="1" showErrorMessage="1" sqref="S4:S5" xr:uid="{687CC61B-ADD2-4920-8DBC-287D43A38F38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98A4-2C4E-4490-98DE-EE8472B49768}">
  <sheetPr>
    <tabColor rgb="FFFFCCFF"/>
  </sheetPr>
  <dimension ref="A1:AS58"/>
  <sheetViews>
    <sheetView showGridLines="0" topLeftCell="A34" zoomScale="85" zoomScaleNormal="85" workbookViewId="0">
      <selection activeCell="AH48" sqref="AH48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321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322</v>
      </c>
      <c r="D4" s="466"/>
      <c r="E4" s="466"/>
      <c r="F4" s="466"/>
      <c r="G4" s="466"/>
      <c r="H4" s="467" t="s">
        <v>8</v>
      </c>
      <c r="I4" s="466" t="s">
        <v>323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1</v>
      </c>
      <c r="U4" s="471"/>
      <c r="V4" s="472"/>
      <c r="W4" s="482" t="str">
        <f>IF(T4=1,"A",IF(T4&gt;=0.8,"B",IF(T4&gt;=0.7,"C",IF(O36&lt;0.7,"D"))))</f>
        <v>A</v>
      </c>
      <c r="X4" s="483"/>
      <c r="Y4" s="75"/>
      <c r="Z4" s="486">
        <f>AVERAGE(T34:AE34)</f>
        <v>1</v>
      </c>
      <c r="AA4" s="487"/>
      <c r="AB4" s="488"/>
      <c r="AC4" s="492" t="str">
        <f>IF(Z4=1,"A",IF(Z4&gt;=0.8,"B",IF(Z4&gt;=0.7,"C",IF(U36&lt;0.7,"D"))))</f>
        <v>A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1</v>
      </c>
      <c r="O32" s="255">
        <f>N32*10</f>
        <v>10</v>
      </c>
      <c r="P32" s="393">
        <f>SUM(O32:O34)</f>
        <v>10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10</v>
      </c>
      <c r="U33" s="272">
        <v>10</v>
      </c>
      <c r="V33" s="272">
        <v>10</v>
      </c>
      <c r="W33" s="272">
        <v>10</v>
      </c>
      <c r="X33" s="272">
        <v>10</v>
      </c>
      <c r="Y33" s="272">
        <v>10</v>
      </c>
      <c r="Z33" s="272">
        <v>10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1</v>
      </c>
      <c r="U34" s="270">
        <f>IF(ISBLANK(U31),"-",(U31+U32+U33)/(IF(U32&gt;0,100,60)))</f>
        <v>1</v>
      </c>
      <c r="V34" s="270">
        <f t="shared" ref="V34:AE34" si="1">IF(ISBLANK(V31),"-",(V31+V32+V33)/(IF(V32&gt;0,100,60)))</f>
        <v>1</v>
      </c>
      <c r="W34" s="270">
        <f t="shared" si="1"/>
        <v>1</v>
      </c>
      <c r="X34" s="270">
        <f t="shared" si="1"/>
        <v>1</v>
      </c>
      <c r="Y34" s="270">
        <f t="shared" si="1"/>
        <v>1</v>
      </c>
      <c r="Z34" s="270">
        <f t="shared" si="1"/>
        <v>1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100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A</v>
      </c>
      <c r="U35" s="15" t="str">
        <f t="shared" ref="U35:AD35" si="2">IF(U34="-","-",IF(U34=1,"A",IF(U34&gt;=0.8,"B",IF(U34&gt;=0.7,"C",IF(U34&lt;0.7,"D")))))</f>
        <v>A</v>
      </c>
      <c r="V35" s="15" t="str">
        <f t="shared" si="2"/>
        <v>A</v>
      </c>
      <c r="W35" s="15" t="str">
        <f t="shared" si="2"/>
        <v>A</v>
      </c>
      <c r="X35" s="15" t="str">
        <f t="shared" si="2"/>
        <v>A</v>
      </c>
      <c r="Y35" s="15" t="str">
        <f t="shared" si="2"/>
        <v>A</v>
      </c>
      <c r="Z35" s="15" t="str">
        <f t="shared" si="2"/>
        <v>A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6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148" priority="32" operator="greaterThan">
      <formula>0</formula>
    </cfRule>
  </conditionalFormatting>
  <conditionalFormatting sqref="O34">
    <cfRule type="cellIs" dxfId="147" priority="31" operator="greaterThan">
      <formula>0</formula>
    </cfRule>
  </conditionalFormatting>
  <conditionalFormatting sqref="O32:O33">
    <cfRule type="cellIs" dxfId="146" priority="30" operator="greaterThan">
      <formula>0</formula>
    </cfRule>
  </conditionalFormatting>
  <conditionalFormatting sqref="AG9">
    <cfRule type="notContainsBlanks" dxfId="145" priority="29">
      <formula>LEN(TRIM(AG9))&gt;0</formula>
    </cfRule>
  </conditionalFormatting>
  <conditionalFormatting sqref="N10">
    <cfRule type="cellIs" dxfId="144" priority="28" stopIfTrue="1" operator="equal">
      <formula>""</formula>
    </cfRule>
  </conditionalFormatting>
  <conditionalFormatting sqref="N11:N18">
    <cfRule type="cellIs" dxfId="143" priority="27" stopIfTrue="1" operator="equal">
      <formula>""</formula>
    </cfRule>
  </conditionalFormatting>
  <conditionalFormatting sqref="N32">
    <cfRule type="cellIs" dxfId="142" priority="23" stopIfTrue="1" operator="equal">
      <formula>""</formula>
    </cfRule>
  </conditionalFormatting>
  <conditionalFormatting sqref="N33">
    <cfRule type="cellIs" dxfId="141" priority="22" stopIfTrue="1" operator="equal">
      <formula>""</formula>
    </cfRule>
  </conditionalFormatting>
  <conditionalFormatting sqref="N34">
    <cfRule type="cellIs" dxfId="140" priority="21" stopIfTrue="1" operator="equal">
      <formula>""</formula>
    </cfRule>
  </conditionalFormatting>
  <conditionalFormatting sqref="T31:AE31">
    <cfRule type="cellIs" dxfId="139" priority="20" stopIfTrue="1" operator="equal">
      <formula>""</formula>
    </cfRule>
  </conditionalFormatting>
  <conditionalFormatting sqref="T32:AE32">
    <cfRule type="cellIs" dxfId="138" priority="19" stopIfTrue="1" operator="equal">
      <formula>""</formula>
    </cfRule>
  </conditionalFormatting>
  <conditionalFormatting sqref="T33:AE33">
    <cfRule type="cellIs" dxfId="137" priority="18" stopIfTrue="1" operator="equal">
      <formula>""</formula>
    </cfRule>
  </conditionalFormatting>
  <conditionalFormatting sqref="N24:N30">
    <cfRule type="cellIs" dxfId="136" priority="17" stopIfTrue="1" operator="equal">
      <formula>""</formula>
    </cfRule>
  </conditionalFormatting>
  <conditionalFormatting sqref="I4">
    <cfRule type="cellIs" dxfId="135" priority="12" stopIfTrue="1" operator="equal">
      <formula>""</formula>
    </cfRule>
  </conditionalFormatting>
  <conditionalFormatting sqref="C3">
    <cfRule type="cellIs" dxfId="134" priority="11" stopIfTrue="1" operator="equal">
      <formula>""</formula>
    </cfRule>
  </conditionalFormatting>
  <conditionalFormatting sqref="C4">
    <cfRule type="cellIs" dxfId="133" priority="10" stopIfTrue="1" operator="equal">
      <formula>""</formula>
    </cfRule>
  </conditionalFormatting>
  <conditionalFormatting sqref="N20">
    <cfRule type="cellIs" dxfId="132" priority="9" stopIfTrue="1" operator="equal">
      <formula>""</formula>
    </cfRule>
  </conditionalFormatting>
  <conditionalFormatting sqref="N21">
    <cfRule type="cellIs" dxfId="131" priority="8" stopIfTrue="1" operator="equal">
      <formula>""</formula>
    </cfRule>
  </conditionalFormatting>
  <conditionalFormatting sqref="N22">
    <cfRule type="cellIs" dxfId="130" priority="7" stopIfTrue="1" operator="equal">
      <formula>""</formula>
    </cfRule>
  </conditionalFormatting>
  <conditionalFormatting sqref="T4">
    <cfRule type="cellIs" dxfId="129" priority="1" stopIfTrue="1" operator="equal">
      <formula>""</formula>
    </cfRule>
  </conditionalFormatting>
  <dataValidations count="1">
    <dataValidation type="list" allowBlank="1" showInputMessage="1" showErrorMessage="1" sqref="S4:S5" xr:uid="{63A5A2DC-6C05-4FE8-AC1D-3F8290318661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08CF-DBCB-4119-8B82-E6D186456604}">
  <sheetPr>
    <tabColor rgb="FFFFCCFF"/>
  </sheetPr>
  <dimension ref="A1:AS58"/>
  <sheetViews>
    <sheetView showGridLines="0" topLeftCell="A34" zoomScale="85" zoomScaleNormal="85" workbookViewId="0">
      <selection activeCell="AB59" sqref="AB59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195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324</v>
      </c>
      <c r="D4" s="466"/>
      <c r="E4" s="466"/>
      <c r="F4" s="466"/>
      <c r="G4" s="466"/>
      <c r="H4" s="467" t="s">
        <v>8</v>
      </c>
      <c r="I4" s="466" t="s">
        <v>325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0.90190476190476188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46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40</v>
      </c>
      <c r="W32" s="272">
        <v>40</v>
      </c>
      <c r="X32" s="272">
        <v>40</v>
      </c>
      <c r="Y32" s="272">
        <v>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2</v>
      </c>
      <c r="V33" s="272">
        <v>2</v>
      </c>
      <c r="W33" s="272">
        <v>2</v>
      </c>
      <c r="X33" s="272">
        <v>2</v>
      </c>
      <c r="Y33" s="272">
        <v>0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0.88</v>
      </c>
      <c r="V34" s="270">
        <f t="shared" ref="V34:AE34" si="1">IF(ISBLANK(V31),"-",(V31+V32+V33)/(IF(V32&gt;0,100,60)))</f>
        <v>0.92</v>
      </c>
      <c r="W34" s="270">
        <f t="shared" si="1"/>
        <v>0.92</v>
      </c>
      <c r="X34" s="270">
        <f t="shared" si="1"/>
        <v>0.92</v>
      </c>
      <c r="Y34" s="270">
        <f t="shared" si="1"/>
        <v>0.83333333333333337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564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128" priority="32" operator="greaterThan">
      <formula>0</formula>
    </cfRule>
  </conditionalFormatting>
  <conditionalFormatting sqref="O34">
    <cfRule type="cellIs" dxfId="127" priority="31" operator="greaterThan">
      <formula>0</formula>
    </cfRule>
  </conditionalFormatting>
  <conditionalFormatting sqref="O32:O33">
    <cfRule type="cellIs" dxfId="126" priority="30" operator="greaterThan">
      <formula>0</formula>
    </cfRule>
  </conditionalFormatting>
  <conditionalFormatting sqref="AG9">
    <cfRule type="notContainsBlanks" dxfId="125" priority="29">
      <formula>LEN(TRIM(AG9))&gt;0</formula>
    </cfRule>
  </conditionalFormatting>
  <conditionalFormatting sqref="N10">
    <cfRule type="cellIs" dxfId="124" priority="28" stopIfTrue="1" operator="equal">
      <formula>""</formula>
    </cfRule>
  </conditionalFormatting>
  <conditionalFormatting sqref="N11:N18">
    <cfRule type="cellIs" dxfId="123" priority="27" stopIfTrue="1" operator="equal">
      <formula>""</formula>
    </cfRule>
  </conditionalFormatting>
  <conditionalFormatting sqref="N32">
    <cfRule type="cellIs" dxfId="122" priority="23" stopIfTrue="1" operator="equal">
      <formula>""</formula>
    </cfRule>
  </conditionalFormatting>
  <conditionalFormatting sqref="N33">
    <cfRule type="cellIs" dxfId="121" priority="22" stopIfTrue="1" operator="equal">
      <formula>""</formula>
    </cfRule>
  </conditionalFormatting>
  <conditionalFormatting sqref="N34">
    <cfRule type="cellIs" dxfId="120" priority="21" stopIfTrue="1" operator="equal">
      <formula>""</formula>
    </cfRule>
  </conditionalFormatting>
  <conditionalFormatting sqref="T31:AE31">
    <cfRule type="cellIs" dxfId="119" priority="20" stopIfTrue="1" operator="equal">
      <formula>""</formula>
    </cfRule>
  </conditionalFormatting>
  <conditionalFormatting sqref="T32:AE32">
    <cfRule type="cellIs" dxfId="118" priority="19" stopIfTrue="1" operator="equal">
      <formula>""</formula>
    </cfRule>
  </conditionalFormatting>
  <conditionalFormatting sqref="T33:AE33">
    <cfRule type="cellIs" dxfId="117" priority="18" stopIfTrue="1" operator="equal">
      <formula>""</formula>
    </cfRule>
  </conditionalFormatting>
  <conditionalFormatting sqref="N24:N30">
    <cfRule type="cellIs" dxfId="116" priority="17" stopIfTrue="1" operator="equal">
      <formula>""</formula>
    </cfRule>
  </conditionalFormatting>
  <conditionalFormatting sqref="I4">
    <cfRule type="cellIs" dxfId="115" priority="12" stopIfTrue="1" operator="equal">
      <formula>""</formula>
    </cfRule>
  </conditionalFormatting>
  <conditionalFormatting sqref="C3">
    <cfRule type="cellIs" dxfId="114" priority="11" stopIfTrue="1" operator="equal">
      <formula>""</formula>
    </cfRule>
  </conditionalFormatting>
  <conditionalFormatting sqref="C4">
    <cfRule type="cellIs" dxfId="113" priority="10" stopIfTrue="1" operator="equal">
      <formula>""</formula>
    </cfRule>
  </conditionalFormatting>
  <conditionalFormatting sqref="N20">
    <cfRule type="cellIs" dxfId="112" priority="9" stopIfTrue="1" operator="equal">
      <formula>""</formula>
    </cfRule>
  </conditionalFormatting>
  <conditionalFormatting sqref="N21">
    <cfRule type="cellIs" dxfId="111" priority="8" stopIfTrue="1" operator="equal">
      <formula>""</formula>
    </cfRule>
  </conditionalFormatting>
  <conditionalFormatting sqref="N22">
    <cfRule type="cellIs" dxfId="110" priority="7" stopIfTrue="1" operator="equal">
      <formula>""</formula>
    </cfRule>
  </conditionalFormatting>
  <conditionalFormatting sqref="T4">
    <cfRule type="cellIs" dxfId="109" priority="1" stopIfTrue="1" operator="equal">
      <formula>""</formula>
    </cfRule>
  </conditionalFormatting>
  <dataValidations count="1">
    <dataValidation type="list" allowBlank="1" showInputMessage="1" showErrorMessage="1" sqref="S4:S5" xr:uid="{D46106E1-205A-448F-9EA3-C3258525AF57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C8EB-B284-4675-9639-28E0EAAD867F}">
  <sheetPr>
    <tabColor rgb="FFFFCCFF"/>
  </sheetPr>
  <dimension ref="A1:AS58"/>
  <sheetViews>
    <sheetView showGridLines="0" topLeftCell="A29" zoomScale="85" zoomScaleNormal="85" workbookViewId="0">
      <selection activeCell="U47" sqref="U47:X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326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327</v>
      </c>
      <c r="D4" s="466"/>
      <c r="E4" s="466"/>
      <c r="F4" s="466"/>
      <c r="G4" s="466"/>
      <c r="H4" s="467" t="s">
        <v>8</v>
      </c>
      <c r="I4" s="466" t="s">
        <v>328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0.95904761904761904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46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40</v>
      </c>
      <c r="V32" s="272">
        <v>0</v>
      </c>
      <c r="W32" s="272">
        <v>40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10</v>
      </c>
      <c r="U33" s="272">
        <v>10</v>
      </c>
      <c r="V33" s="272">
        <v>0</v>
      </c>
      <c r="W33" s="272">
        <v>10</v>
      </c>
      <c r="X33" s="272">
        <v>10</v>
      </c>
      <c r="Y33" s="272">
        <v>10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1</v>
      </c>
      <c r="U34" s="270">
        <f>IF(ISBLANK(U31),"-",(U31+U32+U33)/(IF(U32&gt;0,100,60)))</f>
        <v>0.96</v>
      </c>
      <c r="V34" s="270">
        <f t="shared" ref="V34:AE34" si="1">IF(ISBLANK(V31),"-",(V31+V32+V33)/(IF(V32&gt;0,100,60)))</f>
        <v>0.83333333333333337</v>
      </c>
      <c r="W34" s="270">
        <f t="shared" si="1"/>
        <v>1</v>
      </c>
      <c r="X34" s="270">
        <f t="shared" si="1"/>
        <v>1</v>
      </c>
      <c r="Y34" s="270">
        <f t="shared" si="1"/>
        <v>1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A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A</v>
      </c>
      <c r="X35" s="15" t="str">
        <f t="shared" si="2"/>
        <v>A</v>
      </c>
      <c r="Y35" s="15" t="str">
        <f t="shared" si="2"/>
        <v>A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564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108" priority="32" operator="greaterThan">
      <formula>0</formula>
    </cfRule>
  </conditionalFormatting>
  <conditionalFormatting sqref="O34">
    <cfRule type="cellIs" dxfId="107" priority="31" operator="greaterThan">
      <formula>0</formula>
    </cfRule>
  </conditionalFormatting>
  <conditionalFormatting sqref="O32:O33">
    <cfRule type="cellIs" dxfId="106" priority="30" operator="greaterThan">
      <formula>0</formula>
    </cfRule>
  </conditionalFormatting>
  <conditionalFormatting sqref="AG9">
    <cfRule type="notContainsBlanks" dxfId="105" priority="29">
      <formula>LEN(TRIM(AG9))&gt;0</formula>
    </cfRule>
  </conditionalFormatting>
  <conditionalFormatting sqref="N10">
    <cfRule type="cellIs" dxfId="104" priority="28" stopIfTrue="1" operator="equal">
      <formula>""</formula>
    </cfRule>
  </conditionalFormatting>
  <conditionalFormatting sqref="N11:N18">
    <cfRule type="cellIs" dxfId="103" priority="27" stopIfTrue="1" operator="equal">
      <formula>""</formula>
    </cfRule>
  </conditionalFormatting>
  <conditionalFormatting sqref="N32">
    <cfRule type="cellIs" dxfId="102" priority="23" stopIfTrue="1" operator="equal">
      <formula>""</formula>
    </cfRule>
  </conditionalFormatting>
  <conditionalFormatting sqref="N33">
    <cfRule type="cellIs" dxfId="101" priority="22" stopIfTrue="1" operator="equal">
      <formula>""</formula>
    </cfRule>
  </conditionalFormatting>
  <conditionalFormatting sqref="N34">
    <cfRule type="cellIs" dxfId="100" priority="21" stopIfTrue="1" operator="equal">
      <formula>""</formula>
    </cfRule>
  </conditionalFormatting>
  <conditionalFormatting sqref="T31:AE31">
    <cfRule type="cellIs" dxfId="99" priority="20" stopIfTrue="1" operator="equal">
      <formula>""</formula>
    </cfRule>
  </conditionalFormatting>
  <conditionalFormatting sqref="T32:AE32">
    <cfRule type="cellIs" dxfId="98" priority="19" stopIfTrue="1" operator="equal">
      <formula>""</formula>
    </cfRule>
  </conditionalFormatting>
  <conditionalFormatting sqref="T33:AE33">
    <cfRule type="cellIs" dxfId="97" priority="18" stopIfTrue="1" operator="equal">
      <formula>""</formula>
    </cfRule>
  </conditionalFormatting>
  <conditionalFormatting sqref="N24:N30">
    <cfRule type="cellIs" dxfId="96" priority="17" stopIfTrue="1" operator="equal">
      <formula>""</formula>
    </cfRule>
  </conditionalFormatting>
  <conditionalFormatting sqref="I4">
    <cfRule type="cellIs" dxfId="95" priority="12" stopIfTrue="1" operator="equal">
      <formula>""</formula>
    </cfRule>
  </conditionalFormatting>
  <conditionalFormatting sqref="C3">
    <cfRule type="cellIs" dxfId="94" priority="11" stopIfTrue="1" operator="equal">
      <formula>""</formula>
    </cfRule>
  </conditionalFormatting>
  <conditionalFormatting sqref="C4">
    <cfRule type="cellIs" dxfId="93" priority="10" stopIfTrue="1" operator="equal">
      <formula>""</formula>
    </cfRule>
  </conditionalFormatting>
  <conditionalFormatting sqref="N20">
    <cfRule type="cellIs" dxfId="92" priority="9" stopIfTrue="1" operator="equal">
      <formula>""</formula>
    </cfRule>
  </conditionalFormatting>
  <conditionalFormatting sqref="N21">
    <cfRule type="cellIs" dxfId="91" priority="8" stopIfTrue="1" operator="equal">
      <formula>""</formula>
    </cfRule>
  </conditionalFormatting>
  <conditionalFormatting sqref="N22">
    <cfRule type="cellIs" dxfId="90" priority="7" stopIfTrue="1" operator="equal">
      <formula>""</formula>
    </cfRule>
  </conditionalFormatting>
  <conditionalFormatting sqref="T4">
    <cfRule type="cellIs" dxfId="89" priority="1" stopIfTrue="1" operator="equal">
      <formula>""</formula>
    </cfRule>
  </conditionalFormatting>
  <dataValidations count="1">
    <dataValidation type="list" allowBlank="1" showInputMessage="1" showErrorMessage="1" sqref="S4:S5" xr:uid="{55B2F187-1B6A-4C3A-A3E1-D21FFEB77B5D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6DAC-7A0A-4CB5-89FE-16D7B28142A6}">
  <sheetPr>
    <tabColor rgb="FFFFCCFF"/>
  </sheetPr>
  <dimension ref="A1:AS58"/>
  <sheetViews>
    <sheetView showGridLines="0" topLeftCell="A29" zoomScale="85" zoomScaleNormal="85" workbookViewId="0">
      <selection activeCell="AH52" sqref="AH5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329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330</v>
      </c>
      <c r="D4" s="466"/>
      <c r="E4" s="466"/>
      <c r="F4" s="466"/>
      <c r="G4" s="466"/>
      <c r="H4" s="467" t="s">
        <v>8</v>
      </c>
      <c r="I4" s="466" t="s">
        <v>331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0.87571428571428567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0</v>
      </c>
      <c r="V32" s="272">
        <v>0</v>
      </c>
      <c r="W32" s="272">
        <v>35</v>
      </c>
      <c r="X32" s="272">
        <v>40</v>
      </c>
      <c r="Y32" s="272">
        <v>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0</v>
      </c>
      <c r="W33" s="272">
        <v>2</v>
      </c>
      <c r="X33" s="272">
        <v>2</v>
      </c>
      <c r="Y33" s="272">
        <v>0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0.83333333333333337</v>
      </c>
      <c r="W34" s="270">
        <f t="shared" si="1"/>
        <v>0.87</v>
      </c>
      <c r="X34" s="270">
        <f t="shared" si="1"/>
        <v>0.92</v>
      </c>
      <c r="Y34" s="270">
        <f t="shared" si="1"/>
        <v>0.83333333333333337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88" priority="32" operator="greaterThan">
      <formula>0</formula>
    </cfRule>
  </conditionalFormatting>
  <conditionalFormatting sqref="O34">
    <cfRule type="cellIs" dxfId="87" priority="31" operator="greaterThan">
      <formula>0</formula>
    </cfRule>
  </conditionalFormatting>
  <conditionalFormatting sqref="O32:O33">
    <cfRule type="cellIs" dxfId="86" priority="30" operator="greaterThan">
      <formula>0</formula>
    </cfRule>
  </conditionalFormatting>
  <conditionalFormatting sqref="AG9">
    <cfRule type="notContainsBlanks" dxfId="85" priority="29">
      <formula>LEN(TRIM(AG9))&gt;0</formula>
    </cfRule>
  </conditionalFormatting>
  <conditionalFormatting sqref="N10">
    <cfRule type="cellIs" dxfId="84" priority="28" stopIfTrue="1" operator="equal">
      <formula>""</formula>
    </cfRule>
  </conditionalFormatting>
  <conditionalFormatting sqref="N11:N18">
    <cfRule type="cellIs" dxfId="83" priority="27" stopIfTrue="1" operator="equal">
      <formula>""</formula>
    </cfRule>
  </conditionalFormatting>
  <conditionalFormatting sqref="N32">
    <cfRule type="cellIs" dxfId="82" priority="23" stopIfTrue="1" operator="equal">
      <formula>""</formula>
    </cfRule>
  </conditionalFormatting>
  <conditionalFormatting sqref="N33">
    <cfRule type="cellIs" dxfId="81" priority="22" stopIfTrue="1" operator="equal">
      <formula>""</formula>
    </cfRule>
  </conditionalFormatting>
  <conditionalFormatting sqref="N34">
    <cfRule type="cellIs" dxfId="80" priority="21" stopIfTrue="1" operator="equal">
      <formula>""</formula>
    </cfRule>
  </conditionalFormatting>
  <conditionalFormatting sqref="T31:AE31">
    <cfRule type="cellIs" dxfId="79" priority="20" stopIfTrue="1" operator="equal">
      <formula>""</formula>
    </cfRule>
  </conditionalFormatting>
  <conditionalFormatting sqref="T32:AE32">
    <cfRule type="cellIs" dxfId="78" priority="19" stopIfTrue="1" operator="equal">
      <formula>""</formula>
    </cfRule>
  </conditionalFormatting>
  <conditionalFormatting sqref="T33:AE33">
    <cfRule type="cellIs" dxfId="77" priority="18" stopIfTrue="1" operator="equal">
      <formula>""</formula>
    </cfRule>
  </conditionalFormatting>
  <conditionalFormatting sqref="N24:N30">
    <cfRule type="cellIs" dxfId="76" priority="17" stopIfTrue="1" operator="equal">
      <formula>""</formula>
    </cfRule>
  </conditionalFormatting>
  <conditionalFormatting sqref="I4">
    <cfRule type="cellIs" dxfId="75" priority="12" stopIfTrue="1" operator="equal">
      <formula>""</formula>
    </cfRule>
  </conditionalFormatting>
  <conditionalFormatting sqref="C3">
    <cfRule type="cellIs" dxfId="74" priority="11" stopIfTrue="1" operator="equal">
      <formula>""</formula>
    </cfRule>
  </conditionalFormatting>
  <conditionalFormatting sqref="C4">
    <cfRule type="cellIs" dxfId="73" priority="10" stopIfTrue="1" operator="equal">
      <formula>""</formula>
    </cfRule>
  </conditionalFormatting>
  <conditionalFormatting sqref="N20">
    <cfRule type="cellIs" dxfId="72" priority="9" stopIfTrue="1" operator="equal">
      <formula>""</formula>
    </cfRule>
  </conditionalFormatting>
  <conditionalFormatting sqref="N21">
    <cfRule type="cellIs" dxfId="71" priority="8" stopIfTrue="1" operator="equal">
      <formula>""</formula>
    </cfRule>
  </conditionalFormatting>
  <conditionalFormatting sqref="N22">
    <cfRule type="cellIs" dxfId="70" priority="7" stopIfTrue="1" operator="equal">
      <formula>""</formula>
    </cfRule>
  </conditionalFormatting>
  <conditionalFormatting sqref="T4">
    <cfRule type="cellIs" dxfId="69" priority="1" stopIfTrue="1" operator="equal">
      <formula>""</formula>
    </cfRule>
  </conditionalFormatting>
  <dataValidations count="1">
    <dataValidation type="list" allowBlank="1" showInputMessage="1" showErrorMessage="1" sqref="S4:S5" xr:uid="{BD540099-8BAE-4C78-8020-775FEC33228B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7BB0-683E-4D34-9D92-A113A4083FE8}">
  <sheetPr>
    <tabColor rgb="FFFFCCFF"/>
  </sheetPr>
  <dimension ref="A1:AS58"/>
  <sheetViews>
    <sheetView showGridLines="0" topLeftCell="A39" zoomScale="85" zoomScaleNormal="85" workbookViewId="0">
      <selection activeCell="AA61" sqref="AA61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332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333</v>
      </c>
      <c r="D4" s="466"/>
      <c r="E4" s="466"/>
      <c r="F4" s="466"/>
      <c r="G4" s="466"/>
      <c r="H4" s="467" t="s">
        <v>8</v>
      </c>
      <c r="I4" s="466" t="s">
        <v>334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0.92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0.8704761904761904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46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2</v>
      </c>
      <c r="Q32" s="394"/>
      <c r="S32" s="266" t="s">
        <v>68</v>
      </c>
      <c r="T32" s="267">
        <v>40</v>
      </c>
      <c r="U32" s="272">
        <v>0</v>
      </c>
      <c r="V32" s="272">
        <v>40</v>
      </c>
      <c r="W32" s="272">
        <v>38</v>
      </c>
      <c r="X32" s="272">
        <v>0</v>
      </c>
      <c r="Y32" s="272">
        <v>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2</v>
      </c>
      <c r="W33" s="272">
        <v>2</v>
      </c>
      <c r="X33" s="272">
        <v>0</v>
      </c>
      <c r="Y33" s="272">
        <v>0</v>
      </c>
      <c r="Z33" s="272">
        <v>2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1</v>
      </c>
      <c r="O34" s="257">
        <f>N34*2</f>
        <v>2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0.76666666666666672</v>
      </c>
      <c r="V34" s="270">
        <f t="shared" ref="V34:AE34" si="1">IF(ISBLANK(V31),"-",(V31+V32+V33)/(IF(V32&gt;0,100,60)))</f>
        <v>0.92</v>
      </c>
      <c r="W34" s="270">
        <f t="shared" si="1"/>
        <v>0.9</v>
      </c>
      <c r="X34" s="270">
        <f t="shared" si="1"/>
        <v>0.83333333333333337</v>
      </c>
      <c r="Y34" s="270">
        <f t="shared" si="1"/>
        <v>0.83333333333333337</v>
      </c>
      <c r="Z34" s="270">
        <f t="shared" si="1"/>
        <v>0.92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92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C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564"/>
      <c r="D41" s="376"/>
      <c r="E41" s="376"/>
      <c r="F41" s="376"/>
      <c r="G41" s="376"/>
      <c r="H41" s="376"/>
      <c r="I41" s="376"/>
      <c r="J41" s="376"/>
      <c r="K41" s="376"/>
      <c r="L41" s="376"/>
      <c r="M41" s="376"/>
      <c r="N41" s="376"/>
      <c r="O41" s="376"/>
      <c r="P41" s="376"/>
      <c r="Q41" s="376"/>
      <c r="R41" s="376"/>
      <c r="S41" s="376"/>
      <c r="T41" s="376"/>
      <c r="U41" s="376"/>
      <c r="V41" s="376"/>
      <c r="W41" s="376"/>
      <c r="X41" s="376"/>
      <c r="Y41" s="376"/>
      <c r="Z41" s="376"/>
      <c r="AA41" s="376"/>
      <c r="AB41" s="376"/>
      <c r="AC41" s="376"/>
      <c r="AD41" s="376"/>
      <c r="AE41" s="37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41:AE41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68" priority="32" operator="greaterThan">
      <formula>0</formula>
    </cfRule>
  </conditionalFormatting>
  <conditionalFormatting sqref="O34">
    <cfRule type="cellIs" dxfId="67" priority="31" operator="greaterThan">
      <formula>0</formula>
    </cfRule>
  </conditionalFormatting>
  <conditionalFormatting sqref="O32:O33">
    <cfRule type="cellIs" dxfId="66" priority="30" operator="greaterThan">
      <formula>0</formula>
    </cfRule>
  </conditionalFormatting>
  <conditionalFormatting sqref="AG9">
    <cfRule type="notContainsBlanks" dxfId="65" priority="29">
      <formula>LEN(TRIM(AG9))&gt;0</formula>
    </cfRule>
  </conditionalFormatting>
  <conditionalFormatting sqref="N10">
    <cfRule type="cellIs" dxfId="64" priority="28" stopIfTrue="1" operator="equal">
      <formula>""</formula>
    </cfRule>
  </conditionalFormatting>
  <conditionalFormatting sqref="N11:N18">
    <cfRule type="cellIs" dxfId="63" priority="27" stopIfTrue="1" operator="equal">
      <formula>""</formula>
    </cfRule>
  </conditionalFormatting>
  <conditionalFormatting sqref="N32">
    <cfRule type="cellIs" dxfId="62" priority="23" stopIfTrue="1" operator="equal">
      <formula>""</formula>
    </cfRule>
  </conditionalFormatting>
  <conditionalFormatting sqref="N33">
    <cfRule type="cellIs" dxfId="61" priority="22" stopIfTrue="1" operator="equal">
      <formula>""</formula>
    </cfRule>
  </conditionalFormatting>
  <conditionalFormatting sqref="N34">
    <cfRule type="cellIs" dxfId="60" priority="21" stopIfTrue="1" operator="equal">
      <formula>""</formula>
    </cfRule>
  </conditionalFormatting>
  <conditionalFormatting sqref="T31:AE31">
    <cfRule type="cellIs" dxfId="59" priority="20" stopIfTrue="1" operator="equal">
      <formula>""</formula>
    </cfRule>
  </conditionalFormatting>
  <conditionalFormatting sqref="T32:AE32">
    <cfRule type="cellIs" dxfId="58" priority="19" stopIfTrue="1" operator="equal">
      <formula>""</formula>
    </cfRule>
  </conditionalFormatting>
  <conditionalFormatting sqref="T33:AE33">
    <cfRule type="cellIs" dxfId="57" priority="18" stopIfTrue="1" operator="equal">
      <formula>""</formula>
    </cfRule>
  </conditionalFormatting>
  <conditionalFormatting sqref="N24:N30">
    <cfRule type="cellIs" dxfId="56" priority="17" stopIfTrue="1" operator="equal">
      <formula>""</formula>
    </cfRule>
  </conditionalFormatting>
  <conditionalFormatting sqref="I4">
    <cfRule type="cellIs" dxfId="55" priority="12" stopIfTrue="1" operator="equal">
      <formula>""</formula>
    </cfRule>
  </conditionalFormatting>
  <conditionalFormatting sqref="C3">
    <cfRule type="cellIs" dxfId="54" priority="11" stopIfTrue="1" operator="equal">
      <formula>""</formula>
    </cfRule>
  </conditionalFormatting>
  <conditionalFormatting sqref="C4">
    <cfRule type="cellIs" dxfId="53" priority="10" stopIfTrue="1" operator="equal">
      <formula>""</formula>
    </cfRule>
  </conditionalFormatting>
  <conditionalFormatting sqref="N20">
    <cfRule type="cellIs" dxfId="52" priority="9" stopIfTrue="1" operator="equal">
      <formula>""</formula>
    </cfRule>
  </conditionalFormatting>
  <conditionalFormatting sqref="N21">
    <cfRule type="cellIs" dxfId="51" priority="8" stopIfTrue="1" operator="equal">
      <formula>""</formula>
    </cfRule>
  </conditionalFormatting>
  <conditionalFormatting sqref="N22">
    <cfRule type="cellIs" dxfId="50" priority="7" stopIfTrue="1" operator="equal">
      <formula>""</formula>
    </cfRule>
  </conditionalFormatting>
  <conditionalFormatting sqref="T4">
    <cfRule type="cellIs" dxfId="49" priority="1" stopIfTrue="1" operator="equal">
      <formula>""</formula>
    </cfRule>
  </conditionalFormatting>
  <dataValidations count="1">
    <dataValidation type="list" allowBlank="1" showInputMessage="1" showErrorMessage="1" sqref="S4:S5" xr:uid="{54102BD6-F707-4909-B683-4E7BCB1DE698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D760-781F-4B83-936F-FC2F456C4B66}">
  <sheetPr>
    <tabColor rgb="FFFF0000"/>
  </sheetPr>
  <dimension ref="A1:AS58"/>
  <sheetViews>
    <sheetView showGridLines="0" topLeftCell="A34" zoomScale="85" zoomScaleNormal="85" workbookViewId="0">
      <selection activeCell="Z62" sqref="Z62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163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335</v>
      </c>
      <c r="D4" s="466"/>
      <c r="E4" s="466"/>
      <c r="F4" s="466"/>
      <c r="G4" s="466"/>
      <c r="H4" s="467" t="s">
        <v>8</v>
      </c>
      <c r="I4" s="466" t="s">
        <v>336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0.86904761904761896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0</v>
      </c>
      <c r="O14" s="255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0</v>
      </c>
      <c r="O16" s="255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50</v>
      </c>
      <c r="Z31" s="272">
        <v>50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0</v>
      </c>
      <c r="Q32" s="394"/>
      <c r="S32" s="266" t="s">
        <v>68</v>
      </c>
      <c r="T32" s="267">
        <v>40</v>
      </c>
      <c r="U32" s="272">
        <v>0</v>
      </c>
      <c r="V32" s="272">
        <v>0</v>
      </c>
      <c r="W32" s="272">
        <v>39</v>
      </c>
      <c r="X32" s="272">
        <v>40</v>
      </c>
      <c r="Y32" s="272">
        <v>0</v>
      </c>
      <c r="Z32" s="272">
        <v>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0</v>
      </c>
      <c r="O33" s="255">
        <f>N33*5</f>
        <v>0</v>
      </c>
      <c r="P33" s="395"/>
      <c r="Q33" s="396"/>
      <c r="S33" s="269" t="s">
        <v>71</v>
      </c>
      <c r="T33" s="267">
        <v>2</v>
      </c>
      <c r="U33" s="272">
        <v>0</v>
      </c>
      <c r="V33" s="272">
        <v>0</v>
      </c>
      <c r="W33" s="272">
        <v>2</v>
      </c>
      <c r="X33" s="272">
        <v>2</v>
      </c>
      <c r="Y33" s="272">
        <v>0</v>
      </c>
      <c r="Z33" s="272">
        <v>0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0.83333333333333337</v>
      </c>
      <c r="W34" s="270">
        <f t="shared" si="1"/>
        <v>0.91</v>
      </c>
      <c r="X34" s="270">
        <f t="shared" si="1"/>
        <v>0.92</v>
      </c>
      <c r="Y34" s="270">
        <f t="shared" si="1"/>
        <v>0.83333333333333337</v>
      </c>
      <c r="Z34" s="270">
        <f t="shared" si="1"/>
        <v>0.83333333333333337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 t="s">
        <v>263</v>
      </c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49"/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  <c r="O41" s="349"/>
      <c r="P41" s="349"/>
      <c r="Q41" s="349"/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49"/>
      <c r="AE41" s="350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3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C41:AE41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48" priority="32" operator="greaterThan">
      <formula>0</formula>
    </cfRule>
  </conditionalFormatting>
  <conditionalFormatting sqref="O34">
    <cfRule type="cellIs" dxfId="47" priority="31" operator="greaterThan">
      <formula>0</formula>
    </cfRule>
  </conditionalFormatting>
  <conditionalFormatting sqref="O32:O33">
    <cfRule type="cellIs" dxfId="46" priority="30" operator="greaterThan">
      <formula>0</formula>
    </cfRule>
  </conditionalFormatting>
  <conditionalFormatting sqref="AG9">
    <cfRule type="notContainsBlanks" dxfId="45" priority="29">
      <formula>LEN(TRIM(AG9))&gt;0</formula>
    </cfRule>
  </conditionalFormatting>
  <conditionalFormatting sqref="N10">
    <cfRule type="cellIs" dxfId="44" priority="28" stopIfTrue="1" operator="equal">
      <formula>""</formula>
    </cfRule>
  </conditionalFormatting>
  <conditionalFormatting sqref="N11:N18">
    <cfRule type="cellIs" dxfId="43" priority="27" stopIfTrue="1" operator="equal">
      <formula>""</formula>
    </cfRule>
  </conditionalFormatting>
  <conditionalFormatting sqref="N32">
    <cfRule type="cellIs" dxfId="42" priority="23" stopIfTrue="1" operator="equal">
      <formula>""</formula>
    </cfRule>
  </conditionalFormatting>
  <conditionalFormatting sqref="N33">
    <cfRule type="cellIs" dxfId="41" priority="22" stopIfTrue="1" operator="equal">
      <formula>""</formula>
    </cfRule>
  </conditionalFormatting>
  <conditionalFormatting sqref="N34">
    <cfRule type="cellIs" dxfId="40" priority="21" stopIfTrue="1" operator="equal">
      <formula>""</formula>
    </cfRule>
  </conditionalFormatting>
  <conditionalFormatting sqref="T31:AE31">
    <cfRule type="cellIs" dxfId="39" priority="20" stopIfTrue="1" operator="equal">
      <formula>""</formula>
    </cfRule>
  </conditionalFormatting>
  <conditionalFormatting sqref="T32:AE32">
    <cfRule type="cellIs" dxfId="38" priority="19" stopIfTrue="1" operator="equal">
      <formula>""</formula>
    </cfRule>
  </conditionalFormatting>
  <conditionalFormatting sqref="T33:AE33">
    <cfRule type="cellIs" dxfId="37" priority="18" stopIfTrue="1" operator="equal">
      <formula>""</formula>
    </cfRule>
  </conditionalFormatting>
  <conditionalFormatting sqref="N24:N30">
    <cfRule type="cellIs" dxfId="36" priority="17" stopIfTrue="1" operator="equal">
      <formula>""</formula>
    </cfRule>
  </conditionalFormatting>
  <conditionalFormatting sqref="I4">
    <cfRule type="cellIs" dxfId="35" priority="12" stopIfTrue="1" operator="equal">
      <formula>""</formula>
    </cfRule>
  </conditionalFormatting>
  <conditionalFormatting sqref="C3">
    <cfRule type="cellIs" dxfId="34" priority="11" stopIfTrue="1" operator="equal">
      <formula>""</formula>
    </cfRule>
  </conditionalFormatting>
  <conditionalFormatting sqref="C4">
    <cfRule type="cellIs" dxfId="33" priority="10" stopIfTrue="1" operator="equal">
      <formula>""</formula>
    </cfRule>
  </conditionalFormatting>
  <conditionalFormatting sqref="N20">
    <cfRule type="cellIs" dxfId="32" priority="9" stopIfTrue="1" operator="equal">
      <formula>""</formula>
    </cfRule>
  </conditionalFormatting>
  <conditionalFormatting sqref="N21">
    <cfRule type="cellIs" dxfId="31" priority="8" stopIfTrue="1" operator="equal">
      <formula>""</formula>
    </cfRule>
  </conditionalFormatting>
  <conditionalFormatting sqref="N22">
    <cfRule type="cellIs" dxfId="30" priority="7" stopIfTrue="1" operator="equal">
      <formula>""</formula>
    </cfRule>
  </conditionalFormatting>
  <conditionalFormatting sqref="T4">
    <cfRule type="cellIs" dxfId="29" priority="1" stopIfTrue="1" operator="equal">
      <formula>""</formula>
    </cfRule>
  </conditionalFormatting>
  <dataValidations count="1">
    <dataValidation type="list" allowBlank="1" showInputMessage="1" showErrorMessage="1" sqref="S4:S5" xr:uid="{CE8B94FE-1BB5-4BFB-8051-DD5DA94CCFF0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83A4-5391-4184-940C-DE8DCE491CA3}">
  <sheetPr>
    <tabColor rgb="FFFFCCFF"/>
  </sheetPr>
  <dimension ref="A1:AS58"/>
  <sheetViews>
    <sheetView showGridLines="0" zoomScale="85" zoomScaleNormal="85" workbookViewId="0">
      <selection activeCell="AI14" sqref="AI14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337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257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338</v>
      </c>
      <c r="D4" s="466"/>
      <c r="E4" s="466"/>
      <c r="F4" s="466"/>
      <c r="G4" s="466"/>
      <c r="H4" s="467" t="s">
        <v>8</v>
      </c>
      <c r="I4" s="466" t="s">
        <v>339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0.89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AVERAGE(T34:AE34)</f>
        <v>0.90238095238095239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17.2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7.2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4"/>
      <c r="O9" s="383"/>
      <c r="P9" s="383"/>
      <c r="Q9" s="385"/>
      <c r="AE9" s="18"/>
      <c r="AG9" s="73"/>
    </row>
    <row r="10" spans="1:39" ht="17.2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6"/>
      <c r="N10" s="252">
        <v>0</v>
      </c>
      <c r="O10" s="253">
        <f>N10*40</f>
        <v>0</v>
      </c>
      <c r="P10" s="393">
        <f>I10-(SUM(O10:O18))</f>
        <v>34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7.2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7"/>
      <c r="N11" s="254">
        <v>0</v>
      </c>
      <c r="O11" s="255">
        <f>N11*35</f>
        <v>0</v>
      </c>
      <c r="P11" s="395"/>
      <c r="Q11" s="396"/>
      <c r="R11" s="439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7.2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7"/>
      <c r="N12" s="254">
        <v>0</v>
      </c>
      <c r="O12" s="255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7.2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7"/>
      <c r="N13" s="254">
        <v>0</v>
      </c>
      <c r="O13" s="255">
        <f>N13*10</f>
        <v>0</v>
      </c>
      <c r="P13" s="395"/>
      <c r="Q13" s="396"/>
      <c r="R13" s="439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7.2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7"/>
      <c r="N14" s="254">
        <v>1</v>
      </c>
      <c r="O14" s="255">
        <f>N14*2</f>
        <v>2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7.2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8"/>
      <c r="N15" s="254">
        <v>0</v>
      </c>
      <c r="O15" s="255">
        <f>N15*10</f>
        <v>0</v>
      </c>
      <c r="P15" s="395"/>
      <c r="Q15" s="396"/>
      <c r="R15" s="439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7.2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7"/>
      <c r="N16" s="254">
        <v>1</v>
      </c>
      <c r="O16" s="255">
        <f>N16*4</f>
        <v>4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7.2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7"/>
      <c r="N17" s="254">
        <v>0</v>
      </c>
      <c r="O17" s="255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7.2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49" t="s">
        <v>18</v>
      </c>
      <c r="K18" s="449"/>
      <c r="L18" s="424" t="s">
        <v>31</v>
      </c>
      <c r="M18" s="425"/>
      <c r="N18" s="256">
        <v>0</v>
      </c>
      <c r="O18" s="257">
        <f>N18*4</f>
        <v>0</v>
      </c>
      <c r="P18" s="397"/>
      <c r="Q18" s="398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7.2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258"/>
      <c r="J19" s="426"/>
      <c r="K19" s="426"/>
      <c r="L19" s="427"/>
      <c r="M19" s="427"/>
      <c r="N19" s="259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7.2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30">
        <v>10</v>
      </c>
      <c r="J20" s="431" t="s">
        <v>18</v>
      </c>
      <c r="K20" s="432"/>
      <c r="L20" s="433" t="s">
        <v>36</v>
      </c>
      <c r="M20" s="434"/>
      <c r="N20" s="260">
        <v>0</v>
      </c>
      <c r="O20" s="253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7.2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399"/>
      <c r="L21" s="436" t="s">
        <v>36</v>
      </c>
      <c r="M21" s="437"/>
      <c r="N21" s="261">
        <v>0</v>
      </c>
      <c r="O21" s="255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7.2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430"/>
      <c r="J22" s="414" t="s">
        <v>18</v>
      </c>
      <c r="K22" s="378"/>
      <c r="L22" s="415" t="s">
        <v>36</v>
      </c>
      <c r="M22" s="416"/>
      <c r="N22" s="262">
        <v>0</v>
      </c>
      <c r="O22" s="257">
        <f>N22*10</f>
        <v>0</v>
      </c>
      <c r="P22" s="397"/>
      <c r="Q22" s="398"/>
      <c r="AE22" s="18"/>
    </row>
    <row r="23" spans="1:35" ht="17.2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263"/>
      <c r="J23" s="76"/>
      <c r="K23" s="76"/>
      <c r="L23" s="76"/>
      <c r="M23" s="76"/>
      <c r="N23" s="160"/>
      <c r="O23" s="119"/>
      <c r="P23" s="119"/>
      <c r="Q23" s="120"/>
      <c r="AE23" s="18"/>
    </row>
    <row r="24" spans="1:35" ht="17.2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419">
        <f>IF(P32=0,0,40)</f>
        <v>40</v>
      </c>
      <c r="J24" s="389" t="s">
        <v>18</v>
      </c>
      <c r="K24" s="421"/>
      <c r="L24" s="422" t="s">
        <v>41</v>
      </c>
      <c r="M24" s="423"/>
      <c r="N24" s="252">
        <v>0</v>
      </c>
      <c r="O24" s="95">
        <f t="shared" ref="O24:O30" si="0">N24*1</f>
        <v>0</v>
      </c>
      <c r="P24" s="393">
        <f>I24-SUM(O24:O30)</f>
        <v>40</v>
      </c>
      <c r="Q24" s="394"/>
      <c r="AE24" s="18"/>
      <c r="AH24" s="404"/>
    </row>
    <row r="25" spans="1:35" ht="17.2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254">
        <v>0</v>
      </c>
      <c r="O25" s="95">
        <f>N25*10</f>
        <v>0</v>
      </c>
      <c r="P25" s="395"/>
      <c r="Q25" s="396"/>
      <c r="AE25" s="18"/>
      <c r="AH25" s="404"/>
    </row>
    <row r="26" spans="1:35" ht="17.2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254">
        <v>0</v>
      </c>
      <c r="O26" s="99">
        <f t="shared" si="0"/>
        <v>0</v>
      </c>
      <c r="P26" s="395"/>
      <c r="Q26" s="396"/>
      <c r="AE26" s="18"/>
      <c r="AH26" s="404"/>
    </row>
    <row r="27" spans="1:35" ht="17.2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254">
        <v>0</v>
      </c>
      <c r="O27" s="99">
        <f t="shared" si="0"/>
        <v>0</v>
      </c>
      <c r="P27" s="395"/>
      <c r="Q27" s="396"/>
      <c r="AE27" s="18"/>
      <c r="AH27" s="404"/>
    </row>
    <row r="28" spans="1:35" ht="17.2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254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7.2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254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7.2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56">
        <v>0</v>
      </c>
      <c r="O30" s="105">
        <f t="shared" si="0"/>
        <v>0</v>
      </c>
      <c r="P30" s="397"/>
      <c r="Q30" s="398"/>
      <c r="R30" s="128"/>
      <c r="S30" s="129" t="s">
        <v>63</v>
      </c>
      <c r="T30" s="264">
        <v>0.8</v>
      </c>
      <c r="U30" s="264">
        <v>0.8</v>
      </c>
      <c r="V30" s="264">
        <v>0.8</v>
      </c>
      <c r="W30" s="264">
        <v>0.8</v>
      </c>
      <c r="X30" s="264">
        <v>0.8</v>
      </c>
      <c r="Y30" s="264">
        <v>0.8</v>
      </c>
      <c r="Z30" s="264">
        <v>0.8</v>
      </c>
      <c r="AA30" s="264">
        <v>0.8</v>
      </c>
      <c r="AB30" s="264">
        <v>0.8</v>
      </c>
      <c r="AC30" s="264">
        <v>0.8</v>
      </c>
      <c r="AD30" s="264">
        <v>0.8</v>
      </c>
      <c r="AE30" s="265">
        <v>0.8</v>
      </c>
      <c r="AG30" s="132"/>
      <c r="AH30" s="132"/>
      <c r="AI30" s="133"/>
    </row>
    <row r="31" spans="1:35" ht="17.2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384"/>
      <c r="N31" s="384"/>
      <c r="O31" s="383"/>
      <c r="P31" s="383"/>
      <c r="Q31" s="385"/>
      <c r="S31" s="266" t="s">
        <v>65</v>
      </c>
      <c r="T31" s="267">
        <v>50</v>
      </c>
      <c r="U31" s="272">
        <v>50</v>
      </c>
      <c r="V31" s="272">
        <v>50</v>
      </c>
      <c r="W31" s="272">
        <v>50</v>
      </c>
      <c r="X31" s="272">
        <v>50</v>
      </c>
      <c r="Y31" s="272">
        <v>44</v>
      </c>
      <c r="Z31" s="272">
        <v>44</v>
      </c>
      <c r="AA31" s="272"/>
      <c r="AB31" s="272"/>
      <c r="AC31" s="272"/>
      <c r="AD31" s="272"/>
      <c r="AE31" s="272"/>
    </row>
    <row r="32" spans="1:35" ht="17.2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390"/>
      <c r="L32" s="391" t="s">
        <v>67</v>
      </c>
      <c r="M32" s="392"/>
      <c r="N32" s="268">
        <v>0</v>
      </c>
      <c r="O32" s="255">
        <f>N32*10</f>
        <v>0</v>
      </c>
      <c r="P32" s="393">
        <f>SUM(O32:O34)</f>
        <v>5</v>
      </c>
      <c r="Q32" s="394"/>
      <c r="S32" s="266" t="s">
        <v>68</v>
      </c>
      <c r="T32" s="267">
        <v>40</v>
      </c>
      <c r="U32" s="272">
        <v>0</v>
      </c>
      <c r="V32" s="272">
        <v>40</v>
      </c>
      <c r="W32" s="272">
        <v>0</v>
      </c>
      <c r="X32" s="272">
        <v>40</v>
      </c>
      <c r="Y32" s="272">
        <v>40</v>
      </c>
      <c r="Z32" s="272">
        <v>40</v>
      </c>
      <c r="AA32" s="272"/>
      <c r="AB32" s="272"/>
      <c r="AC32" s="272"/>
      <c r="AD32" s="272"/>
      <c r="AE32" s="272"/>
    </row>
    <row r="33" spans="1:39" ht="17.2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0"/>
      <c r="L33" s="401" t="s">
        <v>70</v>
      </c>
      <c r="M33" s="402"/>
      <c r="N33" s="261">
        <v>1</v>
      </c>
      <c r="O33" s="255">
        <f>N33*5</f>
        <v>5</v>
      </c>
      <c r="P33" s="395"/>
      <c r="Q33" s="396"/>
      <c r="S33" s="269" t="s">
        <v>71</v>
      </c>
      <c r="T33" s="267">
        <v>2</v>
      </c>
      <c r="U33" s="272">
        <v>0</v>
      </c>
      <c r="V33" s="272">
        <v>10</v>
      </c>
      <c r="W33" s="272">
        <v>0</v>
      </c>
      <c r="X33" s="272">
        <v>5</v>
      </c>
      <c r="Y33" s="272">
        <v>5</v>
      </c>
      <c r="Z33" s="272">
        <v>5</v>
      </c>
      <c r="AA33" s="272"/>
      <c r="AB33" s="272"/>
      <c r="AC33" s="272"/>
      <c r="AD33" s="272"/>
      <c r="AE33" s="272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403"/>
      <c r="L34" s="365" t="s">
        <v>73</v>
      </c>
      <c r="M34" s="366"/>
      <c r="N34" s="262">
        <v>0</v>
      </c>
      <c r="O34" s="257">
        <f>N34*2</f>
        <v>0</v>
      </c>
      <c r="P34" s="397"/>
      <c r="Q34" s="398"/>
      <c r="S34" s="59" t="s">
        <v>74</v>
      </c>
      <c r="T34" s="270">
        <f>IF(ISBLANK(T31),"-",(T31+T32+T33)/(IF(T32&gt;0,100,60)))</f>
        <v>0.92</v>
      </c>
      <c r="U34" s="270">
        <f>IF(ISBLANK(U31),"-",(U31+U32+U33)/(IF(U32&gt;0,100,60)))</f>
        <v>0.83333333333333337</v>
      </c>
      <c r="V34" s="270">
        <f t="shared" ref="V34:AE34" si="1">IF(ISBLANK(V31),"-",(V31+V32+V33)/(IF(V32&gt;0,100,60)))</f>
        <v>1</v>
      </c>
      <c r="W34" s="270">
        <f t="shared" si="1"/>
        <v>0.83333333333333337</v>
      </c>
      <c r="X34" s="270">
        <f t="shared" si="1"/>
        <v>0.95</v>
      </c>
      <c r="Y34" s="270">
        <f t="shared" si="1"/>
        <v>0.89</v>
      </c>
      <c r="Z34" s="270">
        <f t="shared" si="1"/>
        <v>0.89</v>
      </c>
      <c r="AA34" s="270" t="str">
        <f>IF(ISBLANK(AA31),"-",(AA31+AA32+AA33)/(IF(AA32&gt;0,100,60)))</f>
        <v>-</v>
      </c>
      <c r="AB34" s="270" t="str">
        <f t="shared" si="1"/>
        <v>-</v>
      </c>
      <c r="AC34" s="270" t="str">
        <f t="shared" si="1"/>
        <v>-</v>
      </c>
      <c r="AD34" s="270" t="str">
        <f t="shared" si="1"/>
        <v>-</v>
      </c>
      <c r="AE34" s="271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89</v>
      </c>
      <c r="J35" s="371"/>
      <c r="K35" s="371"/>
      <c r="L35" s="372"/>
      <c r="M35" s="372"/>
      <c r="N35" s="372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D35" si="2">IF(U34="-","-",IF(U34=1,"A",IF(U34&gt;=0.8,"B",IF(U34&gt;=0.7,"C",IF(U34&lt;0.7,"D")))))</f>
        <v>B</v>
      </c>
      <c r="V35" s="15" t="str">
        <f t="shared" si="2"/>
        <v>A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-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>IF(AE34="-","-",IF(AE34=1,"A",IF(AE34&gt;=0.8,"B",IF(AE34&gt;=0.7,"C",IF(AE34&lt;0.7,"D")))))</f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 t="s">
        <v>340</v>
      </c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</mergeCells>
  <conditionalFormatting sqref="O24:O30 O10:O18 O20:O22">
    <cfRule type="cellIs" dxfId="28" priority="29" operator="greaterThan">
      <formula>0</formula>
    </cfRule>
  </conditionalFormatting>
  <conditionalFormatting sqref="O34">
    <cfRule type="cellIs" dxfId="27" priority="28" operator="greaterThan">
      <formula>0</formula>
    </cfRule>
  </conditionalFormatting>
  <conditionalFormatting sqref="O32:O33">
    <cfRule type="cellIs" dxfId="26" priority="27" operator="greaterThan">
      <formula>0</formula>
    </cfRule>
  </conditionalFormatting>
  <conditionalFormatting sqref="AG9">
    <cfRule type="notContainsBlanks" dxfId="25" priority="26">
      <formula>LEN(TRIM(AG9))&gt;0</formula>
    </cfRule>
  </conditionalFormatting>
  <conditionalFormatting sqref="N10">
    <cfRule type="cellIs" dxfId="24" priority="25" stopIfTrue="1" operator="equal">
      <formula>""</formula>
    </cfRule>
  </conditionalFormatting>
  <conditionalFormatting sqref="N11:N18">
    <cfRule type="cellIs" dxfId="23" priority="24" stopIfTrue="1" operator="equal">
      <formula>""</formula>
    </cfRule>
  </conditionalFormatting>
  <conditionalFormatting sqref="N20">
    <cfRule type="cellIs" dxfId="22" priority="23" stopIfTrue="1" operator="equal">
      <formula>""</formula>
    </cfRule>
  </conditionalFormatting>
  <conditionalFormatting sqref="N21">
    <cfRule type="cellIs" dxfId="21" priority="22" stopIfTrue="1" operator="equal">
      <formula>""</formula>
    </cfRule>
  </conditionalFormatting>
  <conditionalFormatting sqref="N22">
    <cfRule type="cellIs" dxfId="20" priority="21" stopIfTrue="1" operator="equal">
      <formula>""</formula>
    </cfRule>
  </conditionalFormatting>
  <conditionalFormatting sqref="N32">
    <cfRule type="cellIs" dxfId="19" priority="20" stopIfTrue="1" operator="equal">
      <formula>""</formula>
    </cfRule>
  </conditionalFormatting>
  <conditionalFormatting sqref="N33">
    <cfRule type="cellIs" dxfId="18" priority="19" stopIfTrue="1" operator="equal">
      <formula>""</formula>
    </cfRule>
  </conditionalFormatting>
  <conditionalFormatting sqref="N34">
    <cfRule type="cellIs" dxfId="17" priority="18" stopIfTrue="1" operator="equal">
      <formula>""</formula>
    </cfRule>
  </conditionalFormatting>
  <conditionalFormatting sqref="T31:AE31">
    <cfRule type="cellIs" dxfId="16" priority="17" stopIfTrue="1" operator="equal">
      <formula>""</formula>
    </cfRule>
  </conditionalFormatting>
  <conditionalFormatting sqref="T32:AE32">
    <cfRule type="cellIs" dxfId="15" priority="16" stopIfTrue="1" operator="equal">
      <formula>""</formula>
    </cfRule>
  </conditionalFormatting>
  <conditionalFormatting sqref="T33:AE33">
    <cfRule type="cellIs" dxfId="14" priority="15" stopIfTrue="1" operator="equal">
      <formula>""</formula>
    </cfRule>
  </conditionalFormatting>
  <conditionalFormatting sqref="N24:N30">
    <cfRule type="cellIs" dxfId="13" priority="14" stopIfTrue="1" operator="equal">
      <formula>""</formula>
    </cfRule>
  </conditionalFormatting>
  <conditionalFormatting sqref="I4">
    <cfRule type="cellIs" dxfId="12" priority="9" stopIfTrue="1" operator="equal">
      <formula>""</formula>
    </cfRule>
  </conditionalFormatting>
  <conditionalFormatting sqref="C3">
    <cfRule type="cellIs" dxfId="11" priority="8" stopIfTrue="1" operator="equal">
      <formula>""</formula>
    </cfRule>
  </conditionalFormatting>
  <conditionalFormatting sqref="C4">
    <cfRule type="cellIs" dxfId="10" priority="7" stopIfTrue="1" operator="equal">
      <formula>""</formula>
    </cfRule>
  </conditionalFormatting>
  <conditionalFormatting sqref="T4">
    <cfRule type="cellIs" dxfId="9" priority="1" stopIfTrue="1" operator="equal">
      <formula>""</formula>
    </cfRule>
  </conditionalFormatting>
  <dataValidations count="1">
    <dataValidation type="list" allowBlank="1" showInputMessage="1" showErrorMessage="1" sqref="S4:S5" xr:uid="{38EF12E8-7800-4112-83B5-B80A94601591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65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210D-433D-45EB-BFB3-E5943264E155}">
  <sheetPr>
    <tabColor rgb="FF66FFFF"/>
  </sheetPr>
  <dimension ref="A1:AS58"/>
  <sheetViews>
    <sheetView showGridLines="0" topLeftCell="A13" zoomScale="85" zoomScaleNormal="85" workbookViewId="0">
      <selection activeCell="S4" sqref="S4:X5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341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6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342</v>
      </c>
      <c r="D4" s="466"/>
      <c r="E4" s="466"/>
      <c r="F4" s="466"/>
      <c r="G4" s="466"/>
      <c r="H4" s="467" t="s">
        <v>8</v>
      </c>
      <c r="I4" s="466" t="s">
        <v>310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145</v>
      </c>
      <c r="T4" s="470">
        <f>Z34</f>
        <v>0.83333333333333337</v>
      </c>
      <c r="U4" s="471"/>
      <c r="V4" s="472"/>
      <c r="W4" s="482" t="str">
        <f>IF(T4=1,"A",IF(T4&gt;=0.8,"B",IF(T4&gt;=0.7,"C",IF(O36&lt;0.7,"D"))))</f>
        <v>B</v>
      </c>
      <c r="X4" s="483"/>
      <c r="Y4" s="75"/>
      <c r="Z4" s="486">
        <f>AVERAGE(T34:Y34)</f>
        <v>0.83333333333333337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473"/>
      <c r="U5" s="474"/>
      <c r="V5" s="475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22.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3.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5"/>
      <c r="AE9" s="18"/>
      <c r="AG9" s="73"/>
    </row>
    <row r="10" spans="1:39" ht="13.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5"/>
      <c r="N10" s="19">
        <v>0</v>
      </c>
      <c r="O10" s="95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3.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8"/>
      <c r="N11" s="61">
        <v>0</v>
      </c>
      <c r="O11" s="99">
        <f>N11*35</f>
        <v>0</v>
      </c>
      <c r="P11" s="395"/>
      <c r="Q11" s="396"/>
      <c r="R11" s="440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3.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8"/>
      <c r="N12" s="61">
        <v>0</v>
      </c>
      <c r="O12" s="99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3.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8"/>
      <c r="N13" s="61">
        <v>0</v>
      </c>
      <c r="O13" s="99">
        <f>N13*10</f>
        <v>0</v>
      </c>
      <c r="P13" s="395"/>
      <c r="Q13" s="396"/>
      <c r="R13" s="440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3.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8"/>
      <c r="N14" s="61">
        <v>0</v>
      </c>
      <c r="O14" s="99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3.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7"/>
      <c r="N15" s="61">
        <v>0</v>
      </c>
      <c r="O15" s="99">
        <f>N15*10</f>
        <v>0</v>
      </c>
      <c r="P15" s="395"/>
      <c r="Q15" s="396"/>
      <c r="R15" s="440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3.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8"/>
      <c r="N16" s="61">
        <v>0</v>
      </c>
      <c r="O16" s="99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3.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8"/>
      <c r="N17" s="61">
        <v>0</v>
      </c>
      <c r="O17" s="99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3.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14" t="s">
        <v>18</v>
      </c>
      <c r="K18" s="414"/>
      <c r="L18" s="499" t="s">
        <v>31</v>
      </c>
      <c r="M18" s="499"/>
      <c r="N18" s="21">
        <v>0</v>
      </c>
      <c r="O18" s="105">
        <f>N18*4</f>
        <v>0</v>
      </c>
      <c r="P18" s="395"/>
      <c r="Q18" s="396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3.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109"/>
      <c r="J19" s="498"/>
      <c r="K19" s="498"/>
      <c r="L19" s="498"/>
      <c r="M19" s="498"/>
      <c r="N19" s="110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3.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43">
        <v>10</v>
      </c>
      <c r="J20" s="444" t="s">
        <v>18</v>
      </c>
      <c r="K20" s="444"/>
      <c r="L20" s="445" t="s">
        <v>36</v>
      </c>
      <c r="M20" s="445"/>
      <c r="N20" s="19">
        <v>0</v>
      </c>
      <c r="O20" s="95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3.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435"/>
      <c r="L21" s="438" t="s">
        <v>36</v>
      </c>
      <c r="M21" s="438"/>
      <c r="N21" s="61">
        <v>0</v>
      </c>
      <c r="O21" s="99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3.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501"/>
      <c r="J22" s="414" t="s">
        <v>18</v>
      </c>
      <c r="K22" s="414"/>
      <c r="L22" s="499" t="s">
        <v>36</v>
      </c>
      <c r="M22" s="499"/>
      <c r="N22" s="21">
        <v>0</v>
      </c>
      <c r="O22" s="105">
        <f>N22*10</f>
        <v>0</v>
      </c>
      <c r="P22" s="397"/>
      <c r="Q22" s="398"/>
      <c r="AE22" s="18"/>
    </row>
    <row r="23" spans="1:35" ht="13.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117"/>
      <c r="J23" s="76"/>
      <c r="K23" s="76"/>
      <c r="L23" s="76"/>
      <c r="M23" s="76"/>
      <c r="N23" s="118"/>
      <c r="O23" s="119"/>
      <c r="P23" s="119"/>
      <c r="Q23" s="120"/>
      <c r="AE23" s="18"/>
    </row>
    <row r="24" spans="1:35" ht="13.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500">
        <v>40</v>
      </c>
      <c r="J24" s="389" t="s">
        <v>18</v>
      </c>
      <c r="K24" s="421"/>
      <c r="L24" s="422" t="s">
        <v>41</v>
      </c>
      <c r="M24" s="423"/>
      <c r="N24" s="19">
        <v>0</v>
      </c>
      <c r="O24" s="95">
        <f t="shared" ref="O24:O30" si="0">N24*1</f>
        <v>0</v>
      </c>
      <c r="P24" s="393">
        <v>0</v>
      </c>
      <c r="Q24" s="394"/>
      <c r="AE24" s="18"/>
      <c r="AH24" s="404"/>
    </row>
    <row r="25" spans="1:35" ht="13.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61">
        <v>0</v>
      </c>
      <c r="O25" s="95">
        <f>N25*10</f>
        <v>0</v>
      </c>
      <c r="P25" s="395"/>
      <c r="Q25" s="396"/>
      <c r="AE25" s="18"/>
      <c r="AH25" s="404"/>
    </row>
    <row r="26" spans="1:35" ht="13.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61">
        <v>0</v>
      </c>
      <c r="O26" s="99">
        <f t="shared" si="0"/>
        <v>0</v>
      </c>
      <c r="P26" s="395"/>
      <c r="Q26" s="396"/>
      <c r="AE26" s="18"/>
      <c r="AH26" s="404"/>
    </row>
    <row r="27" spans="1:35" ht="13.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61">
        <v>0</v>
      </c>
      <c r="O27" s="99">
        <f t="shared" si="0"/>
        <v>0</v>
      </c>
      <c r="P27" s="395"/>
      <c r="Q27" s="396"/>
      <c r="AE27" s="18"/>
      <c r="AH27" s="404"/>
    </row>
    <row r="28" spans="1:35" ht="13.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61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3.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61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1">
        <v>0</v>
      </c>
      <c r="O30" s="105">
        <f t="shared" si="0"/>
        <v>0</v>
      </c>
      <c r="P30" s="397"/>
      <c r="Q30" s="398"/>
      <c r="R30" s="128"/>
      <c r="S30" s="129" t="s">
        <v>63</v>
      </c>
      <c r="T30" s="130">
        <v>0.8</v>
      </c>
      <c r="U30" s="130">
        <v>0.8</v>
      </c>
      <c r="V30" s="130">
        <v>0.8</v>
      </c>
      <c r="W30" s="130">
        <v>0.8</v>
      </c>
      <c r="X30" s="130">
        <v>0.8</v>
      </c>
      <c r="Y30" s="130">
        <v>0.8</v>
      </c>
      <c r="Z30" s="130">
        <v>0.8</v>
      </c>
      <c r="AA30" s="130">
        <v>0.8</v>
      </c>
      <c r="AB30" s="130">
        <v>0.8</v>
      </c>
      <c r="AC30" s="130">
        <v>0.8</v>
      </c>
      <c r="AD30" s="130">
        <v>0.8</v>
      </c>
      <c r="AE30" s="131">
        <v>0.8</v>
      </c>
      <c r="AG30" s="132"/>
      <c r="AH30" s="132"/>
      <c r="AI30" s="133"/>
    </row>
    <row r="31" spans="1:35" ht="13.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  <c r="O31" s="383"/>
      <c r="P31" s="383"/>
      <c r="Q31" s="385"/>
      <c r="S31" s="134" t="s">
        <v>65</v>
      </c>
      <c r="T31" s="22">
        <v>50</v>
      </c>
      <c r="U31" s="22">
        <v>50</v>
      </c>
      <c r="V31" s="22">
        <v>50</v>
      </c>
      <c r="W31" s="22">
        <v>50</v>
      </c>
      <c r="X31" s="22">
        <v>50</v>
      </c>
      <c r="Y31" s="22">
        <v>50</v>
      </c>
      <c r="Z31" s="22">
        <v>50</v>
      </c>
      <c r="AA31" s="22">
        <v>50</v>
      </c>
      <c r="AB31" s="22"/>
      <c r="AC31" s="22"/>
      <c r="AD31" s="22"/>
      <c r="AE31" s="23"/>
    </row>
    <row r="32" spans="1:35" ht="13.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421"/>
      <c r="L32" s="422" t="s">
        <v>67</v>
      </c>
      <c r="M32" s="423"/>
      <c r="N32" s="19">
        <v>0</v>
      </c>
      <c r="O32" s="95">
        <f>N32*10</f>
        <v>0</v>
      </c>
      <c r="P32" s="393">
        <f>SUM(O32:O34)</f>
        <v>0</v>
      </c>
      <c r="Q32" s="394"/>
      <c r="S32" s="134" t="s">
        <v>68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/>
      <c r="AA32" s="24"/>
      <c r="AB32" s="24"/>
      <c r="AC32" s="24"/>
      <c r="AD32" s="24"/>
      <c r="AE32" s="25"/>
    </row>
    <row r="33" spans="1:39" ht="13.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8"/>
      <c r="L33" s="409" t="s">
        <v>70</v>
      </c>
      <c r="M33" s="410"/>
      <c r="N33" s="61">
        <v>0</v>
      </c>
      <c r="O33" s="99">
        <f>N33*5</f>
        <v>0</v>
      </c>
      <c r="P33" s="395"/>
      <c r="Q33" s="396"/>
      <c r="S33" s="138" t="s">
        <v>71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/>
      <c r="AA33" s="26"/>
      <c r="AB33" s="26"/>
      <c r="AC33" s="26"/>
      <c r="AD33" s="26"/>
      <c r="AE33" s="27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379"/>
      <c r="L34" s="380" t="s">
        <v>73</v>
      </c>
      <c r="M34" s="381"/>
      <c r="N34" s="21">
        <v>0</v>
      </c>
      <c r="O34" s="105">
        <f>N34*2</f>
        <v>0</v>
      </c>
      <c r="P34" s="397"/>
      <c r="Q34" s="398"/>
      <c r="S34" s="59" t="s">
        <v>74</v>
      </c>
      <c r="T34" s="13">
        <f>IF(ISBLANK(T31),"-",(T31+T32+T33)/(IF(T32&gt;0,100,60)))</f>
        <v>0.83333333333333337</v>
      </c>
      <c r="U34" s="13">
        <f t="shared" ref="U34:AE34" si="1">IF(ISBLANK(U31),"-",(U31+U32+U33)/(IF(U32&gt;0,100,60)))</f>
        <v>0.83333333333333337</v>
      </c>
      <c r="V34" s="13">
        <f t="shared" si="1"/>
        <v>0.83333333333333337</v>
      </c>
      <c r="W34" s="13">
        <f t="shared" si="1"/>
        <v>0.83333333333333337</v>
      </c>
      <c r="X34" s="13">
        <f t="shared" si="1"/>
        <v>0.83333333333333337</v>
      </c>
      <c r="Y34" s="13">
        <f t="shared" si="1"/>
        <v>0.83333333333333337</v>
      </c>
      <c r="Z34" s="13">
        <f t="shared" si="1"/>
        <v>0.83333333333333337</v>
      </c>
      <c r="AA34" s="13">
        <f t="shared" si="1"/>
        <v>0.83333333333333337</v>
      </c>
      <c r="AB34" s="13" t="str">
        <f t="shared" si="1"/>
        <v>-</v>
      </c>
      <c r="AC34" s="13" t="str">
        <f t="shared" si="1"/>
        <v>-</v>
      </c>
      <c r="AD34" s="13" t="str">
        <f t="shared" si="1"/>
        <v>-</v>
      </c>
      <c r="AE34" s="14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1"/>
      <c r="M35" s="371"/>
      <c r="N35" s="371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E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B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 t="shared" si="2"/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562" t="s">
        <v>343</v>
      </c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62"/>
      <c r="AB40" s="562"/>
      <c r="AC40" s="562"/>
      <c r="AD40" s="562"/>
      <c r="AE40" s="563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</mergeCells>
  <conditionalFormatting sqref="N20:O22 N32:O34 N10:O18 N24:O30">
    <cfRule type="cellIs" dxfId="8" priority="7" operator="greaterThan">
      <formula>0</formula>
    </cfRule>
  </conditionalFormatting>
  <conditionalFormatting sqref="I4">
    <cfRule type="cellIs" dxfId="7" priority="4" stopIfTrue="1" operator="equal">
      <formula>""</formula>
    </cfRule>
  </conditionalFormatting>
  <conditionalFormatting sqref="C3">
    <cfRule type="cellIs" dxfId="6" priority="3" stopIfTrue="1" operator="equal">
      <formula>""</formula>
    </cfRule>
  </conditionalFormatting>
  <conditionalFormatting sqref="C4">
    <cfRule type="cellIs" dxfId="5" priority="2" stopIfTrue="1" operator="equal">
      <formula>""</formula>
    </cfRule>
  </conditionalFormatting>
  <conditionalFormatting sqref="T4">
    <cfRule type="cellIs" dxfId="4" priority="1" stopIfTrue="1" operator="equal">
      <formula>""</formula>
    </cfRule>
  </conditionalFormatting>
  <dataValidations count="1">
    <dataValidation type="list" allowBlank="1" showInputMessage="1" showErrorMessage="1" sqref="S4:S5" xr:uid="{7ABD165A-2D17-4C75-AB65-47750198A5CC}">
      <formula1>"JAN, FEB, MAR, APR, MAY, JUN, JUL, AUG, SEP, OCT, NOV, DEC"</formula1>
    </dataValidation>
  </dataValidations>
  <printOptions horizontalCentered="1" verticalCentered="1"/>
  <pageMargins left="0" right="0" top="0" bottom="0" header="0" footer="0"/>
  <pageSetup paperSize="9" scale="70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8D0E-4D4E-484E-AD1E-1416CDF8B814}">
  <sheetPr>
    <tabColor rgb="FF66FFFF"/>
  </sheetPr>
  <dimension ref="A1:AS58"/>
  <sheetViews>
    <sheetView showGridLines="0" topLeftCell="A10" zoomScale="85" zoomScaleNormal="85" workbookViewId="0">
      <selection activeCell="AF33" sqref="AF33"/>
    </sheetView>
  </sheetViews>
  <sheetFormatPr defaultColWidth="8.140625" defaultRowHeight="19.5" customHeight="1"/>
  <cols>
    <col min="1" max="1" width="8" style="17" customWidth="1"/>
    <col min="2" max="2" width="9.5703125" style="17" customWidth="1"/>
    <col min="3" max="3" width="10.28515625" style="17" customWidth="1"/>
    <col min="4" max="4" width="9.42578125" style="17" customWidth="1"/>
    <col min="5" max="6" width="8.7109375" style="17" customWidth="1"/>
    <col min="7" max="7" width="10.28515625" style="17" customWidth="1"/>
    <col min="8" max="8" width="8.28515625" style="17" customWidth="1"/>
    <col min="9" max="9" width="5.28515625" style="17" customWidth="1"/>
    <col min="10" max="11" width="3.7109375" style="17" customWidth="1"/>
    <col min="12" max="15" width="5.42578125" style="17" customWidth="1"/>
    <col min="16" max="16" width="4.5703125" style="178" customWidth="1"/>
    <col min="17" max="17" width="4.7109375" style="178" customWidth="1"/>
    <col min="18" max="18" width="0.85546875" style="17" customWidth="1"/>
    <col min="19" max="19" width="14.7109375" style="17" customWidth="1"/>
    <col min="20" max="31" width="6.28515625" style="17" customWidth="1"/>
    <col min="32" max="32" width="8.140625" style="17" customWidth="1"/>
    <col min="33" max="33" width="8.140625" style="72" customWidth="1"/>
    <col min="34" max="34" width="8.140625" style="73" customWidth="1"/>
    <col min="35" max="35" width="12.85546875" style="73" customWidth="1"/>
    <col min="36" max="39" width="8.140625" style="73" customWidth="1"/>
    <col min="40" max="16384" width="8.140625" style="17"/>
  </cols>
  <sheetData>
    <row r="1" spans="1:39" s="66" customFormat="1" ht="21.75" customHeight="1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302" t="s">
        <v>1</v>
      </c>
      <c r="AE1" s="302"/>
      <c r="AG1" s="67"/>
      <c r="AH1" s="68"/>
      <c r="AI1" s="68"/>
      <c r="AJ1" s="68"/>
      <c r="AK1" s="68"/>
      <c r="AL1" s="68"/>
      <c r="AM1" s="68"/>
    </row>
    <row r="2" spans="1:39" s="66" customFormat="1" ht="21.75" customHeight="1" thickBo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305"/>
      <c r="AE2" s="305"/>
      <c r="AG2" s="67"/>
      <c r="AH2" s="68"/>
      <c r="AI2" s="68"/>
      <c r="AJ2" s="68"/>
      <c r="AK2" s="68"/>
      <c r="AL2" s="68"/>
      <c r="AM2" s="68"/>
    </row>
    <row r="3" spans="1:39" ht="20.25" customHeight="1" thickBot="1">
      <c r="A3" s="465" t="s">
        <v>2</v>
      </c>
      <c r="B3" s="465"/>
      <c r="C3" s="466" t="s">
        <v>344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69"/>
      <c r="S3" s="70" t="s">
        <v>3</v>
      </c>
      <c r="T3" s="477" t="s">
        <v>4</v>
      </c>
      <c r="U3" s="477"/>
      <c r="V3" s="478"/>
      <c r="W3" s="479" t="s">
        <v>5</v>
      </c>
      <c r="X3" s="480"/>
      <c r="Y3" s="71"/>
      <c r="Z3" s="481" t="s">
        <v>6</v>
      </c>
      <c r="AA3" s="477"/>
      <c r="AB3" s="477"/>
      <c r="AC3" s="477"/>
      <c r="AD3" s="477"/>
      <c r="AE3" s="480"/>
    </row>
    <row r="4" spans="1:39" s="76" customFormat="1" ht="14.25" customHeight="1">
      <c r="A4" s="465" t="s">
        <v>7</v>
      </c>
      <c r="B4" s="465"/>
      <c r="C4" s="466" t="s">
        <v>345</v>
      </c>
      <c r="D4" s="466"/>
      <c r="E4" s="466"/>
      <c r="F4" s="466"/>
      <c r="G4" s="466"/>
      <c r="H4" s="467" t="s">
        <v>8</v>
      </c>
      <c r="I4" s="466" t="s">
        <v>346</v>
      </c>
      <c r="J4" s="466"/>
      <c r="K4" s="466"/>
      <c r="L4" s="466"/>
      <c r="M4" s="466"/>
      <c r="N4" s="466"/>
      <c r="O4" s="466"/>
      <c r="P4" s="466"/>
      <c r="Q4" s="466"/>
      <c r="R4" s="74"/>
      <c r="S4" s="468" t="s">
        <v>347</v>
      </c>
      <c r="T4" s="505">
        <f>Y34</f>
        <v>0.83333333333333337</v>
      </c>
      <c r="U4" s="505"/>
      <c r="V4" s="506"/>
      <c r="W4" s="482" t="str">
        <f>IF(T4=1,"A",IF(T4&gt;=0.8,"B",IF(T4&gt;=0.7,"C",IF(O36&lt;0.7,"D"))))</f>
        <v>B</v>
      </c>
      <c r="X4" s="483"/>
      <c r="Y4" s="75"/>
      <c r="Z4" s="486">
        <f>AVERAGE(T34:Y34)</f>
        <v>0.83333333333333337</v>
      </c>
      <c r="AA4" s="487"/>
      <c r="AB4" s="488"/>
      <c r="AC4" s="492" t="str">
        <f>IF(Z4=1,"A",IF(Z4&gt;=0.8,"B",IF(Z4&gt;=0.7,"C",IF(U36&lt;0.7,"D"))))</f>
        <v>B</v>
      </c>
      <c r="AD4" s="493"/>
      <c r="AE4" s="494"/>
      <c r="AG4" s="31"/>
      <c r="AH4" s="77"/>
      <c r="AI4" s="77"/>
      <c r="AJ4" s="77"/>
      <c r="AK4" s="77"/>
      <c r="AL4" s="77"/>
      <c r="AM4" s="77"/>
    </row>
    <row r="5" spans="1:39" s="76" customFormat="1" ht="14.25" customHeight="1" thickBot="1">
      <c r="A5" s="465"/>
      <c r="B5" s="465"/>
      <c r="C5" s="466"/>
      <c r="D5" s="466"/>
      <c r="E5" s="466"/>
      <c r="F5" s="466"/>
      <c r="G5" s="466"/>
      <c r="H5" s="467"/>
      <c r="I5" s="466"/>
      <c r="J5" s="466"/>
      <c r="K5" s="466"/>
      <c r="L5" s="466"/>
      <c r="M5" s="466"/>
      <c r="N5" s="466"/>
      <c r="O5" s="466"/>
      <c r="P5" s="466"/>
      <c r="Q5" s="466"/>
      <c r="R5" s="74"/>
      <c r="S5" s="469"/>
      <c r="T5" s="507"/>
      <c r="U5" s="507"/>
      <c r="V5" s="508"/>
      <c r="W5" s="484"/>
      <c r="X5" s="485"/>
      <c r="Y5" s="75"/>
      <c r="Z5" s="489"/>
      <c r="AA5" s="490"/>
      <c r="AB5" s="491"/>
      <c r="AC5" s="495"/>
      <c r="AD5" s="496"/>
      <c r="AE5" s="497"/>
      <c r="AG5" s="31"/>
      <c r="AH5" s="77"/>
      <c r="AI5" s="77"/>
      <c r="AJ5" s="77"/>
      <c r="AK5" s="77"/>
      <c r="AL5" s="77"/>
      <c r="AM5" s="77"/>
    </row>
    <row r="6" spans="1:39" ht="12" customHeight="1" thickBot="1">
      <c r="A6" s="78"/>
      <c r="D6" s="79"/>
      <c r="E6" s="79"/>
      <c r="F6" s="79"/>
      <c r="G6" s="79"/>
      <c r="H6" s="79"/>
      <c r="I6" s="79"/>
      <c r="J6" s="79"/>
      <c r="K6" s="450"/>
      <c r="L6" s="450"/>
      <c r="M6" s="450"/>
      <c r="N6" s="450"/>
      <c r="O6" s="450"/>
      <c r="P6" s="450"/>
      <c r="Q6" s="450"/>
      <c r="R6" s="80"/>
      <c r="S6" s="81"/>
      <c r="T6" s="81"/>
      <c r="U6" s="82"/>
      <c r="V6" s="82"/>
      <c r="W6" s="83"/>
      <c r="X6" s="83"/>
      <c r="Y6" s="83"/>
      <c r="Z6" s="83"/>
      <c r="AA6" s="83"/>
      <c r="AB6" s="83"/>
      <c r="AC6" s="84"/>
      <c r="AD6" s="84"/>
      <c r="AE6" s="85"/>
    </row>
    <row r="7" spans="1:39" ht="18.75" customHeight="1" thickBot="1">
      <c r="A7" s="451" t="s">
        <v>10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3"/>
      <c r="R7" s="86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86"/>
      <c r="AE7" s="88"/>
    </row>
    <row r="8" spans="1:39" ht="22.5" customHeight="1">
      <c r="A8" s="454" t="s">
        <v>11</v>
      </c>
      <c r="B8" s="455"/>
      <c r="C8" s="455"/>
      <c r="D8" s="455"/>
      <c r="E8" s="455"/>
      <c r="F8" s="455"/>
      <c r="G8" s="455"/>
      <c r="H8" s="456"/>
      <c r="I8" s="89" t="s">
        <v>12</v>
      </c>
      <c r="J8" s="457" t="s">
        <v>13</v>
      </c>
      <c r="K8" s="458"/>
      <c r="L8" s="458"/>
      <c r="M8" s="459"/>
      <c r="N8" s="460" t="s">
        <v>14</v>
      </c>
      <c r="O8" s="461"/>
      <c r="P8" s="462" t="s">
        <v>15</v>
      </c>
      <c r="Q8" s="463"/>
      <c r="R8" s="90"/>
      <c r="S8" s="464"/>
      <c r="T8" s="464"/>
      <c r="U8" s="464"/>
      <c r="V8" s="464"/>
      <c r="W8" s="464"/>
      <c r="X8" s="464"/>
      <c r="Y8" s="464"/>
      <c r="Z8" s="441"/>
      <c r="AA8" s="441"/>
      <c r="AB8" s="441"/>
      <c r="AC8" s="441"/>
      <c r="AD8" s="441"/>
      <c r="AE8" s="442"/>
      <c r="AG8" s="73"/>
      <c r="AH8" s="91"/>
    </row>
    <row r="9" spans="1:39" ht="13.5" customHeight="1">
      <c r="A9" s="382" t="s">
        <v>16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5"/>
      <c r="AE9" s="18"/>
      <c r="AG9" s="73"/>
    </row>
    <row r="10" spans="1:39" ht="13.5" customHeight="1">
      <c r="A10" s="92" t="s">
        <v>17</v>
      </c>
      <c r="B10" s="93"/>
      <c r="C10" s="93"/>
      <c r="D10" s="93"/>
      <c r="E10" s="93"/>
      <c r="F10" s="93"/>
      <c r="G10" s="93"/>
      <c r="H10" s="94"/>
      <c r="I10" s="443">
        <v>40</v>
      </c>
      <c r="J10" s="444" t="s">
        <v>18</v>
      </c>
      <c r="K10" s="444"/>
      <c r="L10" s="445" t="s">
        <v>19</v>
      </c>
      <c r="M10" s="445"/>
      <c r="N10" s="19">
        <v>0</v>
      </c>
      <c r="O10" s="95">
        <f>N10*40</f>
        <v>0</v>
      </c>
      <c r="P10" s="393">
        <f>I10-(SUM(O10:O18))</f>
        <v>40</v>
      </c>
      <c r="Q10" s="394"/>
      <c r="R10" s="72"/>
      <c r="S10" s="72"/>
      <c r="W10" s="72"/>
      <c r="X10" s="72"/>
      <c r="Y10" s="72"/>
      <c r="Z10" s="72"/>
      <c r="AA10" s="72"/>
      <c r="AB10" s="72"/>
      <c r="AC10" s="72"/>
      <c r="AD10" s="72"/>
      <c r="AE10" s="18"/>
      <c r="AG10" s="73"/>
      <c r="AH10" s="404"/>
    </row>
    <row r="11" spans="1:39" ht="13.5" customHeight="1">
      <c r="A11" s="96" t="s">
        <v>20</v>
      </c>
      <c r="B11" s="97"/>
      <c r="C11" s="97"/>
      <c r="D11" s="97"/>
      <c r="E11" s="97"/>
      <c r="F11" s="97"/>
      <c r="G11" s="97"/>
      <c r="H11" s="98"/>
      <c r="I11" s="430"/>
      <c r="J11" s="435" t="s">
        <v>18</v>
      </c>
      <c r="K11" s="435"/>
      <c r="L11" s="438" t="s">
        <v>21</v>
      </c>
      <c r="M11" s="438"/>
      <c r="N11" s="61">
        <v>0</v>
      </c>
      <c r="O11" s="99">
        <f>N11*35</f>
        <v>0</v>
      </c>
      <c r="P11" s="395"/>
      <c r="Q11" s="396"/>
      <c r="R11" s="440"/>
      <c r="S11" s="440"/>
      <c r="W11" s="440"/>
      <c r="X11" s="440"/>
      <c r="Y11" s="440"/>
      <c r="Z11" s="440"/>
      <c r="AA11" s="440"/>
      <c r="AB11" s="440"/>
      <c r="AC11" s="440"/>
      <c r="AD11" s="440"/>
      <c r="AE11" s="18"/>
      <c r="AG11" s="73"/>
      <c r="AH11" s="404"/>
    </row>
    <row r="12" spans="1:39" ht="13.5" customHeight="1">
      <c r="A12" s="96" t="s">
        <v>22</v>
      </c>
      <c r="B12" s="97"/>
      <c r="C12" s="97"/>
      <c r="D12" s="97"/>
      <c r="E12" s="97"/>
      <c r="F12" s="97"/>
      <c r="G12" s="97"/>
      <c r="H12" s="98"/>
      <c r="I12" s="430"/>
      <c r="J12" s="435" t="s">
        <v>18</v>
      </c>
      <c r="K12" s="435"/>
      <c r="L12" s="438" t="s">
        <v>23</v>
      </c>
      <c r="M12" s="438"/>
      <c r="N12" s="61">
        <v>0</v>
      </c>
      <c r="O12" s="99">
        <f>N12*15</f>
        <v>0</v>
      </c>
      <c r="P12" s="395"/>
      <c r="Q12" s="396"/>
      <c r="R12" s="72"/>
      <c r="S12" s="72"/>
      <c r="W12" s="72"/>
      <c r="X12" s="72"/>
      <c r="Y12" s="72"/>
      <c r="Z12" s="72"/>
      <c r="AA12" s="72"/>
      <c r="AB12" s="72"/>
      <c r="AC12" s="72"/>
      <c r="AD12" s="72"/>
      <c r="AE12" s="18"/>
      <c r="AG12" s="73"/>
      <c r="AH12" s="404"/>
    </row>
    <row r="13" spans="1:39" ht="13.5" customHeight="1">
      <c r="A13" s="96" t="s">
        <v>24</v>
      </c>
      <c r="B13" s="97"/>
      <c r="C13" s="97"/>
      <c r="D13" s="97"/>
      <c r="E13" s="97"/>
      <c r="F13" s="97"/>
      <c r="G13" s="97"/>
      <c r="H13" s="98"/>
      <c r="I13" s="430"/>
      <c r="J13" s="435" t="s">
        <v>18</v>
      </c>
      <c r="K13" s="435"/>
      <c r="L13" s="438" t="s">
        <v>25</v>
      </c>
      <c r="M13" s="438"/>
      <c r="N13" s="61">
        <v>0</v>
      </c>
      <c r="O13" s="99">
        <f>N13*10</f>
        <v>0</v>
      </c>
      <c r="P13" s="395"/>
      <c r="Q13" s="396"/>
      <c r="R13" s="440"/>
      <c r="S13" s="440"/>
      <c r="W13" s="440"/>
      <c r="X13" s="440"/>
      <c r="Y13" s="440"/>
      <c r="Z13" s="440"/>
      <c r="AA13" s="440"/>
      <c r="AB13" s="440"/>
      <c r="AC13" s="440"/>
      <c r="AD13" s="440"/>
      <c r="AE13" s="18"/>
      <c r="AG13" s="73"/>
      <c r="AH13" s="404"/>
    </row>
    <row r="14" spans="1:39" ht="13.5" customHeight="1">
      <c r="A14" s="96" t="s">
        <v>26</v>
      </c>
      <c r="B14" s="97"/>
      <c r="C14" s="97"/>
      <c r="D14" s="97"/>
      <c r="E14" s="97"/>
      <c r="F14" s="97"/>
      <c r="G14" s="97"/>
      <c r="H14" s="98"/>
      <c r="I14" s="430"/>
      <c r="J14" s="435" t="s">
        <v>18</v>
      </c>
      <c r="K14" s="435"/>
      <c r="L14" s="438" t="s">
        <v>27</v>
      </c>
      <c r="M14" s="438"/>
      <c r="N14" s="61">
        <v>0</v>
      </c>
      <c r="O14" s="99">
        <f>N14*2</f>
        <v>0</v>
      </c>
      <c r="P14" s="395"/>
      <c r="Q14" s="396"/>
      <c r="R14" s="72"/>
      <c r="S14" s="72"/>
      <c r="W14" s="72"/>
      <c r="X14" s="72"/>
      <c r="Y14" s="72"/>
      <c r="Z14" s="72"/>
      <c r="AA14" s="72"/>
      <c r="AB14" s="72"/>
      <c r="AC14" s="72"/>
      <c r="AD14" s="72"/>
      <c r="AE14" s="18"/>
      <c r="AG14" s="73"/>
    </row>
    <row r="15" spans="1:39" ht="13.5" customHeight="1">
      <c r="A15" s="96" t="s">
        <v>28</v>
      </c>
      <c r="B15" s="97"/>
      <c r="C15" s="97"/>
      <c r="D15" s="97"/>
      <c r="E15" s="97"/>
      <c r="F15" s="97"/>
      <c r="G15" s="97"/>
      <c r="H15" s="98"/>
      <c r="I15" s="430"/>
      <c r="J15" s="435" t="s">
        <v>18</v>
      </c>
      <c r="K15" s="435"/>
      <c r="L15" s="447" t="s">
        <v>29</v>
      </c>
      <c r="M15" s="447"/>
      <c r="N15" s="61">
        <v>0</v>
      </c>
      <c r="O15" s="99">
        <f>N15*10</f>
        <v>0</v>
      </c>
      <c r="P15" s="395"/>
      <c r="Q15" s="396"/>
      <c r="R15" s="440"/>
      <c r="S15" s="440"/>
      <c r="W15" s="440"/>
      <c r="X15" s="440"/>
      <c r="Y15" s="440"/>
      <c r="Z15" s="440"/>
      <c r="AA15" s="440"/>
      <c r="AB15" s="440"/>
      <c r="AC15" s="440"/>
      <c r="AD15" s="440"/>
      <c r="AE15" s="18"/>
    </row>
    <row r="16" spans="1:39" ht="13.5" customHeight="1">
      <c r="A16" s="96" t="s">
        <v>30</v>
      </c>
      <c r="B16" s="97"/>
      <c r="C16" s="97"/>
      <c r="D16" s="97"/>
      <c r="E16" s="97"/>
      <c r="F16" s="97"/>
      <c r="G16" s="97"/>
      <c r="H16" s="98"/>
      <c r="I16" s="430"/>
      <c r="J16" s="435" t="s">
        <v>18</v>
      </c>
      <c r="K16" s="435"/>
      <c r="L16" s="438" t="s">
        <v>31</v>
      </c>
      <c r="M16" s="438"/>
      <c r="N16" s="61">
        <v>0</v>
      </c>
      <c r="O16" s="99">
        <f>N16*4</f>
        <v>0</v>
      </c>
      <c r="P16" s="395"/>
      <c r="Q16" s="396"/>
      <c r="R16" s="72"/>
      <c r="S16" s="72"/>
      <c r="W16" s="72"/>
      <c r="X16" s="72"/>
      <c r="Y16" s="72"/>
      <c r="Z16" s="72"/>
      <c r="AA16" s="72"/>
      <c r="AB16" s="72"/>
      <c r="AC16" s="72"/>
      <c r="AD16" s="72"/>
      <c r="AE16" s="18"/>
    </row>
    <row r="17" spans="1:35" ht="13.5" customHeight="1">
      <c r="A17" s="96" t="s">
        <v>32</v>
      </c>
      <c r="B17" s="100"/>
      <c r="C17" s="100"/>
      <c r="D17" s="100"/>
      <c r="E17" s="100"/>
      <c r="F17" s="100"/>
      <c r="G17" s="100"/>
      <c r="H17" s="101"/>
      <c r="I17" s="430"/>
      <c r="J17" s="435" t="s">
        <v>18</v>
      </c>
      <c r="K17" s="435"/>
      <c r="L17" s="438" t="s">
        <v>31</v>
      </c>
      <c r="M17" s="438"/>
      <c r="N17" s="61">
        <v>0</v>
      </c>
      <c r="O17" s="99">
        <f>N17*4</f>
        <v>0</v>
      </c>
      <c r="P17" s="395"/>
      <c r="Q17" s="396"/>
      <c r="R17" s="72"/>
      <c r="S17" s="72"/>
      <c r="W17" s="72"/>
      <c r="X17" s="72"/>
      <c r="Y17" s="72"/>
      <c r="Z17" s="72"/>
      <c r="AA17" s="72"/>
      <c r="AB17" s="72"/>
      <c r="AC17" s="72"/>
      <c r="AD17" s="72"/>
      <c r="AE17" s="18"/>
    </row>
    <row r="18" spans="1:35" ht="13.5" customHeight="1">
      <c r="A18" s="102" t="s">
        <v>33</v>
      </c>
      <c r="B18" s="103"/>
      <c r="C18" s="103"/>
      <c r="D18" s="103"/>
      <c r="E18" s="103"/>
      <c r="F18" s="103"/>
      <c r="G18" s="103"/>
      <c r="H18" s="104"/>
      <c r="I18" s="430"/>
      <c r="J18" s="414" t="s">
        <v>18</v>
      </c>
      <c r="K18" s="414"/>
      <c r="L18" s="499" t="s">
        <v>31</v>
      </c>
      <c r="M18" s="499"/>
      <c r="N18" s="21">
        <v>0</v>
      </c>
      <c r="O18" s="105">
        <f>N18*4</f>
        <v>0</v>
      </c>
      <c r="P18" s="395"/>
      <c r="Q18" s="396"/>
      <c r="R18" s="72"/>
      <c r="S18" s="72"/>
      <c r="W18" s="72"/>
      <c r="X18" s="72"/>
      <c r="Y18" s="72"/>
      <c r="Z18" s="72"/>
      <c r="AA18" s="72"/>
      <c r="AB18" s="72"/>
      <c r="AC18" s="72"/>
      <c r="AD18" s="72"/>
      <c r="AE18" s="18"/>
    </row>
    <row r="19" spans="1:35" ht="13.5" customHeight="1">
      <c r="A19" s="106" t="s">
        <v>34</v>
      </c>
      <c r="B19" s="107"/>
      <c r="C19" s="107"/>
      <c r="D19" s="107"/>
      <c r="E19" s="108"/>
      <c r="F19" s="108"/>
      <c r="G19" s="108"/>
      <c r="H19" s="108"/>
      <c r="I19" s="109"/>
      <c r="J19" s="498"/>
      <c r="K19" s="498"/>
      <c r="L19" s="498"/>
      <c r="M19" s="498"/>
      <c r="N19" s="110"/>
      <c r="O19" s="111"/>
      <c r="P19" s="428"/>
      <c r="Q19" s="429"/>
      <c r="R19" s="72"/>
      <c r="S19" s="72"/>
      <c r="W19" s="72"/>
      <c r="X19" s="72"/>
      <c r="Y19" s="72"/>
      <c r="Z19" s="72"/>
      <c r="AA19" s="72"/>
      <c r="AB19" s="72"/>
      <c r="AC19" s="72"/>
      <c r="AD19" s="72"/>
      <c r="AE19" s="18"/>
    </row>
    <row r="20" spans="1:35" ht="13.5" customHeight="1">
      <c r="A20" s="92" t="s">
        <v>35</v>
      </c>
      <c r="B20" s="112"/>
      <c r="C20" s="112"/>
      <c r="D20" s="112"/>
      <c r="E20" s="112"/>
      <c r="F20" s="112"/>
      <c r="G20" s="112"/>
      <c r="H20" s="113"/>
      <c r="I20" s="443">
        <v>10</v>
      </c>
      <c r="J20" s="444" t="s">
        <v>18</v>
      </c>
      <c r="K20" s="444"/>
      <c r="L20" s="445" t="s">
        <v>36</v>
      </c>
      <c r="M20" s="445"/>
      <c r="N20" s="19">
        <v>0</v>
      </c>
      <c r="O20" s="95">
        <f>N20*10</f>
        <v>0</v>
      </c>
      <c r="P20" s="393">
        <f>I20-SUM(O20:O22)</f>
        <v>10</v>
      </c>
      <c r="Q20" s="394"/>
      <c r="R20" s="72"/>
      <c r="S20" s="72"/>
      <c r="W20" s="72"/>
      <c r="X20" s="72"/>
      <c r="Y20" s="72"/>
      <c r="Z20" s="72"/>
      <c r="AA20" s="72"/>
      <c r="AB20" s="72"/>
      <c r="AC20" s="72"/>
      <c r="AD20" s="72"/>
      <c r="AE20" s="18"/>
    </row>
    <row r="21" spans="1:35" ht="13.5" customHeight="1">
      <c r="A21" s="114" t="s">
        <v>37</v>
      </c>
      <c r="B21" s="97"/>
      <c r="C21" s="97"/>
      <c r="D21" s="97"/>
      <c r="E21" s="97"/>
      <c r="F21" s="97"/>
      <c r="G21" s="97"/>
      <c r="H21" s="98"/>
      <c r="I21" s="430"/>
      <c r="J21" s="435" t="s">
        <v>18</v>
      </c>
      <c r="K21" s="435"/>
      <c r="L21" s="438" t="s">
        <v>36</v>
      </c>
      <c r="M21" s="438"/>
      <c r="N21" s="61">
        <v>0</v>
      </c>
      <c r="O21" s="99">
        <f>N21*10</f>
        <v>0</v>
      </c>
      <c r="P21" s="395"/>
      <c r="Q21" s="396"/>
      <c r="R21" s="72"/>
      <c r="S21" s="72"/>
      <c r="W21" s="72"/>
      <c r="X21" s="72"/>
      <c r="Y21" s="72"/>
      <c r="Z21" s="72"/>
      <c r="AA21" s="72"/>
      <c r="AB21" s="72"/>
      <c r="AC21" s="72"/>
      <c r="AD21" s="72"/>
      <c r="AE21" s="18"/>
    </row>
    <row r="22" spans="1:35" ht="13.5" customHeight="1">
      <c r="A22" s="411" t="s">
        <v>38</v>
      </c>
      <c r="B22" s="412"/>
      <c r="C22" s="412"/>
      <c r="D22" s="412"/>
      <c r="E22" s="412"/>
      <c r="F22" s="412"/>
      <c r="G22" s="412"/>
      <c r="H22" s="413"/>
      <c r="I22" s="501"/>
      <c r="J22" s="414" t="s">
        <v>18</v>
      </c>
      <c r="K22" s="414"/>
      <c r="L22" s="499" t="s">
        <v>36</v>
      </c>
      <c r="M22" s="499"/>
      <c r="N22" s="21">
        <v>0</v>
      </c>
      <c r="O22" s="105">
        <f>N22*10</f>
        <v>0</v>
      </c>
      <c r="P22" s="397"/>
      <c r="Q22" s="398"/>
      <c r="AE22" s="18"/>
    </row>
    <row r="23" spans="1:35" ht="13.5" customHeight="1">
      <c r="A23" s="417" t="s">
        <v>39</v>
      </c>
      <c r="B23" s="418"/>
      <c r="C23" s="418"/>
      <c r="D23" s="418"/>
      <c r="E23" s="418"/>
      <c r="F23" s="418"/>
      <c r="G23" s="418"/>
      <c r="H23" s="418"/>
      <c r="I23" s="117"/>
      <c r="J23" s="76"/>
      <c r="K23" s="76"/>
      <c r="L23" s="76"/>
      <c r="M23" s="76"/>
      <c r="N23" s="118"/>
      <c r="O23" s="119"/>
      <c r="P23" s="119"/>
      <c r="Q23" s="120"/>
      <c r="AE23" s="18"/>
    </row>
    <row r="24" spans="1:35" ht="13.5" customHeight="1">
      <c r="A24" s="121" t="s">
        <v>40</v>
      </c>
      <c r="B24" s="93"/>
      <c r="C24" s="93"/>
      <c r="D24" s="93"/>
      <c r="E24" s="93"/>
      <c r="F24" s="93"/>
      <c r="G24" s="93"/>
      <c r="H24" s="94"/>
      <c r="I24" s="500">
        <v>40</v>
      </c>
      <c r="J24" s="389" t="s">
        <v>18</v>
      </c>
      <c r="K24" s="421"/>
      <c r="L24" s="422" t="s">
        <v>41</v>
      </c>
      <c r="M24" s="423"/>
      <c r="N24" s="19">
        <v>0</v>
      </c>
      <c r="O24" s="95">
        <f t="shared" ref="O24:O30" si="0">N24*1</f>
        <v>0</v>
      </c>
      <c r="P24" s="393">
        <v>0</v>
      </c>
      <c r="Q24" s="394"/>
      <c r="AE24" s="18"/>
      <c r="AH24" s="404"/>
    </row>
    <row r="25" spans="1:35" ht="13.5" customHeight="1">
      <c r="A25" s="405" t="s">
        <v>42</v>
      </c>
      <c r="B25" s="406"/>
      <c r="C25" s="406"/>
      <c r="D25" s="406"/>
      <c r="E25" s="406"/>
      <c r="F25" s="406"/>
      <c r="G25" s="406"/>
      <c r="H25" s="407"/>
      <c r="I25" s="419"/>
      <c r="J25" s="399" t="s">
        <v>18</v>
      </c>
      <c r="K25" s="408"/>
      <c r="L25" s="409" t="s">
        <v>36</v>
      </c>
      <c r="M25" s="410"/>
      <c r="N25" s="61">
        <v>0</v>
      </c>
      <c r="O25" s="95">
        <f>N25*10</f>
        <v>0</v>
      </c>
      <c r="P25" s="395"/>
      <c r="Q25" s="396"/>
      <c r="AE25" s="18"/>
      <c r="AH25" s="404"/>
    </row>
    <row r="26" spans="1:35" ht="13.5" customHeight="1">
      <c r="A26" s="114" t="s">
        <v>43</v>
      </c>
      <c r="B26" s="97"/>
      <c r="C26" s="97"/>
      <c r="D26" s="97"/>
      <c r="E26" s="97"/>
      <c r="F26" s="97"/>
      <c r="G26" s="97"/>
      <c r="H26" s="98"/>
      <c r="I26" s="419"/>
      <c r="J26" s="399" t="s">
        <v>18</v>
      </c>
      <c r="K26" s="408"/>
      <c r="L26" s="409" t="s">
        <v>41</v>
      </c>
      <c r="M26" s="410"/>
      <c r="N26" s="61">
        <v>0</v>
      </c>
      <c r="O26" s="99">
        <f t="shared" si="0"/>
        <v>0</v>
      </c>
      <c r="P26" s="395"/>
      <c r="Q26" s="396"/>
      <c r="AE26" s="18"/>
      <c r="AH26" s="404"/>
    </row>
    <row r="27" spans="1:35" ht="13.5" customHeight="1" thickBot="1">
      <c r="A27" s="114" t="s">
        <v>44</v>
      </c>
      <c r="B27" s="97"/>
      <c r="C27" s="97"/>
      <c r="D27" s="97"/>
      <c r="E27" s="97"/>
      <c r="F27" s="97"/>
      <c r="G27" s="97"/>
      <c r="H27" s="98"/>
      <c r="I27" s="419"/>
      <c r="J27" s="399" t="s">
        <v>18</v>
      </c>
      <c r="K27" s="408"/>
      <c r="L27" s="409" t="s">
        <v>41</v>
      </c>
      <c r="M27" s="410"/>
      <c r="N27" s="61">
        <v>0</v>
      </c>
      <c r="O27" s="99">
        <f t="shared" si="0"/>
        <v>0</v>
      </c>
      <c r="P27" s="395"/>
      <c r="Q27" s="396"/>
      <c r="AE27" s="18"/>
      <c r="AH27" s="404"/>
    </row>
    <row r="28" spans="1:35" ht="13.5" customHeight="1" thickTop="1" thickBot="1">
      <c r="A28" s="114" t="s">
        <v>45</v>
      </c>
      <c r="B28" s="97"/>
      <c r="C28" s="97"/>
      <c r="D28" s="97"/>
      <c r="E28" s="97"/>
      <c r="F28" s="97"/>
      <c r="G28" s="97"/>
      <c r="H28" s="98"/>
      <c r="I28" s="419"/>
      <c r="J28" s="399" t="s">
        <v>18</v>
      </c>
      <c r="K28" s="408"/>
      <c r="L28" s="409" t="s">
        <v>46</v>
      </c>
      <c r="M28" s="410"/>
      <c r="N28" s="61">
        <v>0</v>
      </c>
      <c r="O28" s="99">
        <f>N28*5</f>
        <v>0</v>
      </c>
      <c r="P28" s="395"/>
      <c r="Q28" s="396"/>
      <c r="S28" s="122" t="s">
        <v>47</v>
      </c>
      <c r="T28" s="122" t="s">
        <v>48</v>
      </c>
      <c r="U28" s="122" t="s">
        <v>49</v>
      </c>
      <c r="V28" s="122" t="s">
        <v>50</v>
      </c>
      <c r="W28" s="122" t="s">
        <v>51</v>
      </c>
      <c r="X28" s="122" t="s">
        <v>52</v>
      </c>
      <c r="Y28" s="122" t="s">
        <v>53</v>
      </c>
      <c r="Z28" s="122" t="s">
        <v>54</v>
      </c>
      <c r="AA28" s="122" t="s">
        <v>55</v>
      </c>
      <c r="AB28" s="122" t="s">
        <v>56</v>
      </c>
      <c r="AC28" s="122" t="s">
        <v>57</v>
      </c>
      <c r="AD28" s="122" t="s">
        <v>58</v>
      </c>
      <c r="AE28" s="123" t="s">
        <v>59</v>
      </c>
      <c r="AG28" s="31"/>
    </row>
    <row r="29" spans="1:35" ht="13.5" customHeight="1" thickTop="1">
      <c r="A29" s="114" t="s">
        <v>60</v>
      </c>
      <c r="B29" s="97"/>
      <c r="C29" s="97"/>
      <c r="D29" s="97"/>
      <c r="E29" s="97"/>
      <c r="F29" s="97"/>
      <c r="G29" s="97"/>
      <c r="H29" s="98"/>
      <c r="I29" s="419"/>
      <c r="J29" s="399" t="s">
        <v>18</v>
      </c>
      <c r="K29" s="408"/>
      <c r="L29" s="409" t="s">
        <v>46</v>
      </c>
      <c r="M29" s="410"/>
      <c r="N29" s="61">
        <v>0</v>
      </c>
      <c r="O29" s="99">
        <f>N29*5</f>
        <v>0</v>
      </c>
      <c r="P29" s="395"/>
      <c r="Q29" s="396"/>
      <c r="S29" s="124" t="s">
        <v>61</v>
      </c>
      <c r="T29" s="125">
        <v>1</v>
      </c>
      <c r="U29" s="125">
        <v>1</v>
      </c>
      <c r="V29" s="125">
        <v>1</v>
      </c>
      <c r="W29" s="125">
        <v>1</v>
      </c>
      <c r="X29" s="125">
        <v>1</v>
      </c>
      <c r="Y29" s="125">
        <v>1</v>
      </c>
      <c r="Z29" s="125">
        <v>1</v>
      </c>
      <c r="AA29" s="125">
        <v>1</v>
      </c>
      <c r="AB29" s="125">
        <v>1</v>
      </c>
      <c r="AC29" s="125">
        <v>1</v>
      </c>
      <c r="AD29" s="125">
        <v>1</v>
      </c>
      <c r="AE29" s="126">
        <v>1</v>
      </c>
    </row>
    <row r="30" spans="1:35" ht="15" customHeight="1" thickBot="1">
      <c r="A30" s="127" t="s">
        <v>62</v>
      </c>
      <c r="B30" s="115"/>
      <c r="C30" s="115"/>
      <c r="D30" s="115"/>
      <c r="E30" s="115"/>
      <c r="F30" s="115"/>
      <c r="G30" s="115"/>
      <c r="H30" s="116"/>
      <c r="I30" s="420"/>
      <c r="J30" s="378" t="s">
        <v>18</v>
      </c>
      <c r="K30" s="379"/>
      <c r="L30" s="380" t="s">
        <v>41</v>
      </c>
      <c r="M30" s="381"/>
      <c r="N30" s="21">
        <v>0</v>
      </c>
      <c r="O30" s="105">
        <f t="shared" si="0"/>
        <v>0</v>
      </c>
      <c r="P30" s="397"/>
      <c r="Q30" s="398"/>
      <c r="R30" s="128"/>
      <c r="S30" s="129" t="s">
        <v>63</v>
      </c>
      <c r="T30" s="130">
        <v>0.8</v>
      </c>
      <c r="U30" s="130">
        <v>0.8</v>
      </c>
      <c r="V30" s="130">
        <v>0.8</v>
      </c>
      <c r="W30" s="130">
        <v>0.8</v>
      </c>
      <c r="X30" s="130">
        <v>0.8</v>
      </c>
      <c r="Y30" s="130">
        <v>0.8</v>
      </c>
      <c r="Z30" s="130">
        <v>0.8</v>
      </c>
      <c r="AA30" s="130">
        <v>0.8</v>
      </c>
      <c r="AB30" s="130">
        <v>0.8</v>
      </c>
      <c r="AC30" s="130">
        <v>0.8</v>
      </c>
      <c r="AD30" s="130">
        <v>0.8</v>
      </c>
      <c r="AE30" s="131">
        <v>0.8</v>
      </c>
      <c r="AG30" s="132"/>
      <c r="AH30" s="132"/>
      <c r="AI30" s="133"/>
    </row>
    <row r="31" spans="1:35" ht="13.5" customHeight="1">
      <c r="A31" s="382" t="s">
        <v>64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  <c r="O31" s="383"/>
      <c r="P31" s="383"/>
      <c r="Q31" s="385"/>
      <c r="S31" s="134" t="s">
        <v>65</v>
      </c>
      <c r="T31" s="22">
        <v>50</v>
      </c>
      <c r="U31" s="22">
        <v>50</v>
      </c>
      <c r="V31" s="22">
        <v>50</v>
      </c>
      <c r="W31" s="22">
        <v>50</v>
      </c>
      <c r="X31" s="22">
        <v>50</v>
      </c>
      <c r="Y31" s="22">
        <v>50</v>
      </c>
      <c r="Z31" s="22">
        <v>50</v>
      </c>
      <c r="AA31" s="22">
        <v>50</v>
      </c>
      <c r="AB31" s="22"/>
      <c r="AC31" s="22"/>
      <c r="AD31" s="22"/>
      <c r="AE31" s="23"/>
    </row>
    <row r="32" spans="1:35" ht="13.5" customHeight="1">
      <c r="A32" s="92" t="s">
        <v>66</v>
      </c>
      <c r="B32" s="135"/>
      <c r="C32" s="112"/>
      <c r="D32" s="112"/>
      <c r="E32" s="112"/>
      <c r="F32" s="112"/>
      <c r="G32" s="112"/>
      <c r="H32" s="113"/>
      <c r="I32" s="386">
        <v>10</v>
      </c>
      <c r="J32" s="389" t="s">
        <v>18</v>
      </c>
      <c r="K32" s="421"/>
      <c r="L32" s="422" t="s">
        <v>67</v>
      </c>
      <c r="M32" s="423"/>
      <c r="N32" s="19">
        <v>0</v>
      </c>
      <c r="O32" s="95">
        <f>N32*10</f>
        <v>0</v>
      </c>
      <c r="P32" s="393">
        <f>SUM(O32:O34)</f>
        <v>0</v>
      </c>
      <c r="Q32" s="394"/>
      <c r="S32" s="134" t="s">
        <v>68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/>
      <c r="AA32" s="24"/>
      <c r="AB32" s="24"/>
      <c r="AC32" s="24"/>
      <c r="AD32" s="24"/>
      <c r="AE32" s="25"/>
    </row>
    <row r="33" spans="1:39" ht="13.5" customHeight="1" thickBot="1">
      <c r="A33" s="96" t="s">
        <v>69</v>
      </c>
      <c r="B33" s="136"/>
      <c r="C33" s="35"/>
      <c r="D33" s="35"/>
      <c r="E33" s="35"/>
      <c r="F33" s="35"/>
      <c r="G33" s="35"/>
      <c r="H33" s="137"/>
      <c r="I33" s="387"/>
      <c r="J33" s="399" t="s">
        <v>18</v>
      </c>
      <c r="K33" s="408"/>
      <c r="L33" s="409" t="s">
        <v>70</v>
      </c>
      <c r="M33" s="410"/>
      <c r="N33" s="61">
        <v>0</v>
      </c>
      <c r="O33" s="99">
        <f>N33*5</f>
        <v>0</v>
      </c>
      <c r="P33" s="395"/>
      <c r="Q33" s="396"/>
      <c r="S33" s="138" t="s">
        <v>71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/>
      <c r="AA33" s="26"/>
      <c r="AB33" s="26"/>
      <c r="AC33" s="26"/>
      <c r="AD33" s="26"/>
      <c r="AE33" s="27"/>
    </row>
    <row r="34" spans="1:39" ht="17.25" customHeight="1" thickTop="1" thickBot="1">
      <c r="A34" s="102" t="s">
        <v>72</v>
      </c>
      <c r="B34" s="139"/>
      <c r="C34" s="139"/>
      <c r="D34" s="139"/>
      <c r="E34" s="139"/>
      <c r="F34" s="139"/>
      <c r="G34" s="139"/>
      <c r="H34" s="140"/>
      <c r="I34" s="388"/>
      <c r="J34" s="378" t="s">
        <v>18</v>
      </c>
      <c r="K34" s="379"/>
      <c r="L34" s="380" t="s">
        <v>73</v>
      </c>
      <c r="M34" s="381"/>
      <c r="N34" s="21">
        <v>0</v>
      </c>
      <c r="O34" s="105">
        <f>N34*2</f>
        <v>0</v>
      </c>
      <c r="P34" s="397"/>
      <c r="Q34" s="398"/>
      <c r="S34" s="59" t="s">
        <v>74</v>
      </c>
      <c r="T34" s="13">
        <f>IF(ISBLANK(T31),"-",(T31+T32+T33)/(IF(T32&gt;0,100,60)))</f>
        <v>0.83333333333333337</v>
      </c>
      <c r="U34" s="13">
        <f t="shared" ref="U34:AE34" si="1">IF(ISBLANK(U31),"-",(U31+U32+U33)/(IF(U32&gt;0,100,60)))</f>
        <v>0.83333333333333337</v>
      </c>
      <c r="V34" s="13">
        <f t="shared" si="1"/>
        <v>0.83333333333333337</v>
      </c>
      <c r="W34" s="13">
        <f t="shared" si="1"/>
        <v>0.83333333333333337</v>
      </c>
      <c r="X34" s="13">
        <f t="shared" si="1"/>
        <v>0.83333333333333337</v>
      </c>
      <c r="Y34" s="13">
        <f t="shared" si="1"/>
        <v>0.83333333333333337</v>
      </c>
      <c r="Z34" s="13">
        <f t="shared" si="1"/>
        <v>0.83333333333333337</v>
      </c>
      <c r="AA34" s="13">
        <f t="shared" si="1"/>
        <v>0.83333333333333337</v>
      </c>
      <c r="AB34" s="13" t="str">
        <f t="shared" si="1"/>
        <v>-</v>
      </c>
      <c r="AC34" s="13" t="str">
        <f t="shared" si="1"/>
        <v>-</v>
      </c>
      <c r="AD34" s="13" t="str">
        <f t="shared" si="1"/>
        <v>-</v>
      </c>
      <c r="AE34" s="14" t="str">
        <f t="shared" si="1"/>
        <v>-</v>
      </c>
      <c r="AF34" s="141"/>
      <c r="AH34" s="132"/>
    </row>
    <row r="35" spans="1:39" ht="15" customHeight="1" thickTop="1" thickBot="1">
      <c r="A35" s="367" t="s">
        <v>75</v>
      </c>
      <c r="B35" s="368"/>
      <c r="C35" s="368"/>
      <c r="D35" s="368"/>
      <c r="E35" s="368"/>
      <c r="F35" s="368"/>
      <c r="G35" s="368"/>
      <c r="H35" s="369"/>
      <c r="I35" s="370">
        <f>P10+P20+P24+P32</f>
        <v>50</v>
      </c>
      <c r="J35" s="371"/>
      <c r="K35" s="371"/>
      <c r="L35" s="371"/>
      <c r="M35" s="371"/>
      <c r="N35" s="371"/>
      <c r="O35" s="371"/>
      <c r="P35" s="371"/>
      <c r="Q35" s="373"/>
      <c r="S35" s="60" t="s">
        <v>76</v>
      </c>
      <c r="T35" s="15" t="str">
        <f>IF(T34="-","-",IF(T34=1,"A",IF(T34&gt;=0.8,"B",IF(T34&gt;=0.7,"C",IF(T34&lt;0.7,"D")))))</f>
        <v>B</v>
      </c>
      <c r="U35" s="15" t="str">
        <f t="shared" ref="U35:AE35" si="2">IF(U34="-","-",IF(U34=1,"A",IF(U34&gt;=0.8,"B",IF(U34&gt;=0.7,"C",IF(U34&lt;0.7,"D")))))</f>
        <v>B</v>
      </c>
      <c r="V35" s="15" t="str">
        <f t="shared" si="2"/>
        <v>B</v>
      </c>
      <c r="W35" s="15" t="str">
        <f t="shared" si="2"/>
        <v>B</v>
      </c>
      <c r="X35" s="15" t="str">
        <f t="shared" si="2"/>
        <v>B</v>
      </c>
      <c r="Y35" s="15" t="str">
        <f t="shared" si="2"/>
        <v>B</v>
      </c>
      <c r="Z35" s="15" t="str">
        <f t="shared" si="2"/>
        <v>B</v>
      </c>
      <c r="AA35" s="15" t="str">
        <f t="shared" si="2"/>
        <v>B</v>
      </c>
      <c r="AB35" s="15" t="str">
        <f t="shared" si="2"/>
        <v>-</v>
      </c>
      <c r="AC35" s="15" t="str">
        <f t="shared" si="2"/>
        <v>-</v>
      </c>
      <c r="AD35" s="15" t="str">
        <f t="shared" si="2"/>
        <v>-</v>
      </c>
      <c r="AE35" s="16" t="str">
        <f t="shared" si="2"/>
        <v>-</v>
      </c>
    </row>
    <row r="36" spans="1:39" ht="15" customHeight="1">
      <c r="A36" s="374" t="s">
        <v>77</v>
      </c>
      <c r="B36" s="37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9"/>
      <c r="Q36" s="29"/>
      <c r="S36" s="30"/>
      <c r="T36" s="31"/>
      <c r="AE36" s="18"/>
      <c r="AG36" s="17"/>
      <c r="AH36" s="17"/>
      <c r="AI36" s="17"/>
      <c r="AJ36" s="17"/>
      <c r="AK36" s="17"/>
      <c r="AL36" s="17"/>
      <c r="AM36" s="17"/>
    </row>
    <row r="37" spans="1:39" ht="18" customHeight="1">
      <c r="A37" s="347" t="s">
        <v>78</v>
      </c>
      <c r="B37" s="348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7"/>
    </row>
    <row r="38" spans="1:39" ht="18" customHeight="1">
      <c r="A38" s="32"/>
      <c r="C38" s="33" t="e">
        <v>#N/A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  <c r="O38" s="35"/>
      <c r="P38" s="36"/>
      <c r="Q38" s="36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7"/>
      <c r="AG38" s="142"/>
    </row>
    <row r="39" spans="1:39" ht="18" customHeight="1">
      <c r="A39" s="62"/>
      <c r="B39" s="63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6"/>
    </row>
    <row r="40" spans="1:39" ht="18" customHeight="1">
      <c r="A40" s="347" t="s">
        <v>79</v>
      </c>
      <c r="B40" s="348"/>
      <c r="C40" s="562" t="s">
        <v>343</v>
      </c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62"/>
      <c r="AB40" s="562"/>
      <c r="AC40" s="562"/>
      <c r="AD40" s="562"/>
      <c r="AE40" s="563"/>
      <c r="AG40" s="17"/>
      <c r="AH40" s="17"/>
      <c r="AI40" s="17"/>
      <c r="AJ40" s="17"/>
      <c r="AK40" s="17"/>
      <c r="AL40" s="17"/>
      <c r="AM40" s="17"/>
    </row>
    <row r="41" spans="1:39" ht="18" customHeight="1">
      <c r="A41" s="347"/>
      <c r="B41" s="348"/>
      <c r="C41" s="33" t="e">
        <v>#N/A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  <c r="O41" s="35"/>
      <c r="P41" s="36"/>
      <c r="Q41" s="36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7"/>
      <c r="AG41" s="17"/>
      <c r="AH41" s="17"/>
      <c r="AI41" s="17"/>
      <c r="AJ41" s="17"/>
      <c r="AK41" s="17"/>
      <c r="AL41" s="17"/>
      <c r="AM41" s="17"/>
    </row>
    <row r="42" spans="1:39" ht="15" customHeight="1">
      <c r="A42" s="351"/>
      <c r="B42" s="35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39"/>
      <c r="R42" s="40"/>
      <c r="S42" s="41"/>
      <c r="T42" s="42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3"/>
      <c r="AG42" s="17"/>
      <c r="AH42" s="17"/>
      <c r="AI42" s="17"/>
      <c r="AJ42" s="17"/>
      <c r="AK42" s="17"/>
      <c r="AL42" s="17"/>
      <c r="AM42" s="17"/>
    </row>
    <row r="43" spans="1:39" ht="2.25" customHeight="1" thickBot="1">
      <c r="A43" s="143"/>
      <c r="B43" s="14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  <c r="Q43" s="29"/>
      <c r="S43" s="30"/>
      <c r="T43" s="31"/>
      <c r="U43" s="145"/>
      <c r="V43" s="145"/>
      <c r="W43" s="146"/>
      <c r="X43" s="146"/>
      <c r="Y43" s="147"/>
      <c r="Z43" s="147"/>
      <c r="AA43" s="147"/>
      <c r="AB43" s="147"/>
      <c r="AC43" s="147"/>
      <c r="AD43" s="147"/>
      <c r="AE43" s="148"/>
      <c r="AG43" s="17"/>
      <c r="AH43" s="17"/>
      <c r="AI43" s="17"/>
      <c r="AJ43" s="17"/>
      <c r="AK43" s="17"/>
      <c r="AL43" s="17"/>
      <c r="AM43" s="17"/>
    </row>
    <row r="44" spans="1:39" ht="21" customHeight="1" thickBot="1">
      <c r="A44" s="353" t="s">
        <v>80</v>
      </c>
      <c r="B44" s="354"/>
      <c r="C44" s="149" t="s">
        <v>81</v>
      </c>
      <c r="D44" s="149" t="s">
        <v>82</v>
      </c>
      <c r="E44" s="353" t="s">
        <v>83</v>
      </c>
      <c r="F44" s="355"/>
      <c r="G44" s="355"/>
      <c r="H44" s="355"/>
      <c r="I44" s="355"/>
      <c r="J44" s="355"/>
      <c r="K44" s="354"/>
      <c r="L44" s="150"/>
      <c r="M44" s="356" t="s">
        <v>84</v>
      </c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8"/>
      <c r="Y44" s="151"/>
      <c r="Z44" s="356" t="s">
        <v>85</v>
      </c>
      <c r="AA44" s="357"/>
      <c r="AB44" s="357"/>
      <c r="AC44" s="357"/>
      <c r="AD44" s="357"/>
      <c r="AE44" s="358"/>
    </row>
    <row r="45" spans="1:39" ht="12" customHeight="1">
      <c r="A45" s="356" t="s">
        <v>86</v>
      </c>
      <c r="B45" s="358"/>
      <c r="C45" s="333" t="s">
        <v>87</v>
      </c>
      <c r="D45" s="335" t="s">
        <v>88</v>
      </c>
      <c r="E45" s="336" t="s">
        <v>89</v>
      </c>
      <c r="F45" s="337"/>
      <c r="G45" s="337"/>
      <c r="H45" s="337"/>
      <c r="I45" s="337"/>
      <c r="J45" s="337"/>
      <c r="K45" s="338"/>
      <c r="L45" s="152"/>
      <c r="M45" s="339" t="s">
        <v>90</v>
      </c>
      <c r="N45" s="340"/>
      <c r="O45" s="340"/>
      <c r="P45" s="340"/>
      <c r="Q45" s="339" t="s">
        <v>91</v>
      </c>
      <c r="R45" s="340"/>
      <c r="S45" s="340"/>
      <c r="T45" s="343"/>
      <c r="U45" s="340" t="s">
        <v>92</v>
      </c>
      <c r="V45" s="340"/>
      <c r="W45" s="340"/>
      <c r="X45" s="343"/>
      <c r="Y45" s="153"/>
      <c r="Z45" s="359"/>
      <c r="AA45" s="360"/>
      <c r="AB45" s="360"/>
      <c r="AC45" s="360"/>
      <c r="AD45" s="360"/>
      <c r="AE45" s="361"/>
      <c r="AG45" s="142"/>
    </row>
    <row r="46" spans="1:39" ht="12" customHeight="1">
      <c r="A46" s="363"/>
      <c r="B46" s="364"/>
      <c r="C46" s="334"/>
      <c r="D46" s="321"/>
      <c r="E46" s="330"/>
      <c r="F46" s="331"/>
      <c r="G46" s="331"/>
      <c r="H46" s="331"/>
      <c r="I46" s="331"/>
      <c r="J46" s="331"/>
      <c r="K46" s="332"/>
      <c r="L46" s="152"/>
      <c r="M46" s="341"/>
      <c r="N46" s="342"/>
      <c r="O46" s="342"/>
      <c r="P46" s="342"/>
      <c r="Q46" s="341"/>
      <c r="R46" s="342"/>
      <c r="S46" s="342"/>
      <c r="T46" s="344"/>
      <c r="U46" s="342"/>
      <c r="V46" s="342"/>
      <c r="W46" s="342"/>
      <c r="X46" s="344"/>
      <c r="Y46" s="153"/>
      <c r="Z46" s="324"/>
      <c r="AA46" s="362"/>
      <c r="AB46" s="362"/>
      <c r="AC46" s="362"/>
      <c r="AD46" s="362"/>
      <c r="AE46" s="325"/>
      <c r="AG46" s="142"/>
    </row>
    <row r="47" spans="1:39" ht="12" customHeight="1">
      <c r="A47" s="316" t="s">
        <v>93</v>
      </c>
      <c r="B47" s="317"/>
      <c r="C47" s="320" t="s">
        <v>94</v>
      </c>
      <c r="D47" s="320" t="s">
        <v>95</v>
      </c>
      <c r="E47" s="327" t="s">
        <v>96</v>
      </c>
      <c r="F47" s="328"/>
      <c r="G47" s="328"/>
      <c r="H47" s="328"/>
      <c r="I47" s="328"/>
      <c r="J47" s="328"/>
      <c r="K47" s="329"/>
      <c r="L47" s="152"/>
      <c r="M47" s="298"/>
      <c r="N47" s="299"/>
      <c r="O47" s="299"/>
      <c r="P47" s="300"/>
      <c r="Q47" s="298"/>
      <c r="R47" s="299"/>
      <c r="S47" s="299"/>
      <c r="T47" s="300"/>
      <c r="U47" s="298"/>
      <c r="V47" s="299"/>
      <c r="W47" s="299"/>
      <c r="X47" s="300"/>
      <c r="Y47" s="154"/>
      <c r="Z47" s="307"/>
      <c r="AA47" s="308"/>
      <c r="AB47" s="308"/>
      <c r="AC47" s="308"/>
      <c r="AD47" s="308"/>
      <c r="AE47" s="309"/>
    </row>
    <row r="48" spans="1:39" ht="12" customHeight="1">
      <c r="A48" s="318"/>
      <c r="B48" s="319"/>
      <c r="C48" s="321"/>
      <c r="D48" s="321"/>
      <c r="E48" s="330"/>
      <c r="F48" s="331"/>
      <c r="G48" s="331"/>
      <c r="H48" s="331"/>
      <c r="I48" s="331"/>
      <c r="J48" s="331"/>
      <c r="K48" s="332"/>
      <c r="L48" s="152"/>
      <c r="M48" s="301"/>
      <c r="N48" s="302"/>
      <c r="O48" s="302"/>
      <c r="P48" s="303"/>
      <c r="Q48" s="301"/>
      <c r="R48" s="302"/>
      <c r="S48" s="302"/>
      <c r="T48" s="303"/>
      <c r="U48" s="301"/>
      <c r="V48" s="302"/>
      <c r="W48" s="302"/>
      <c r="X48" s="303"/>
      <c r="Y48" s="155"/>
      <c r="Z48" s="310"/>
      <c r="AA48" s="311"/>
      <c r="AB48" s="311"/>
      <c r="AC48" s="311"/>
      <c r="AD48" s="311"/>
      <c r="AE48" s="312"/>
    </row>
    <row r="49" spans="1:45" ht="15" customHeight="1">
      <c r="A49" s="316" t="s">
        <v>97</v>
      </c>
      <c r="B49" s="317"/>
      <c r="C49" s="320" t="s">
        <v>98</v>
      </c>
      <c r="D49" s="320" t="s">
        <v>99</v>
      </c>
      <c r="E49" s="156" t="s">
        <v>100</v>
      </c>
      <c r="F49" s="157"/>
      <c r="G49" s="157"/>
      <c r="H49" s="157"/>
      <c r="I49" s="157"/>
      <c r="J49" s="157"/>
      <c r="K49" s="158"/>
      <c r="L49" s="152"/>
      <c r="M49" s="301"/>
      <c r="N49" s="302"/>
      <c r="O49" s="302"/>
      <c r="P49" s="303"/>
      <c r="Q49" s="301"/>
      <c r="R49" s="302"/>
      <c r="S49" s="302"/>
      <c r="T49" s="303"/>
      <c r="U49" s="301"/>
      <c r="V49" s="302"/>
      <c r="W49" s="302"/>
      <c r="X49" s="303"/>
      <c r="Y49" s="154"/>
      <c r="Z49" s="310"/>
      <c r="AA49" s="311"/>
      <c r="AB49" s="311"/>
      <c r="AC49" s="311"/>
      <c r="AD49" s="311"/>
      <c r="AE49" s="312"/>
      <c r="AG49" s="17"/>
      <c r="AH49" s="17"/>
      <c r="AI49" s="17"/>
      <c r="AJ49" s="17"/>
      <c r="AK49" s="17"/>
      <c r="AL49" s="17"/>
      <c r="AM49" s="17"/>
    </row>
    <row r="50" spans="1:45" ht="15" customHeight="1">
      <c r="A50" s="318"/>
      <c r="B50" s="319"/>
      <c r="C50" s="321"/>
      <c r="D50" s="321"/>
      <c r="E50" s="159" t="s">
        <v>101</v>
      </c>
      <c r="F50" s="160"/>
      <c r="G50" s="160"/>
      <c r="H50" s="160"/>
      <c r="I50" s="160"/>
      <c r="J50" s="160"/>
      <c r="K50" s="161"/>
      <c r="L50" s="152"/>
      <c r="M50" s="301"/>
      <c r="N50" s="302"/>
      <c r="O50" s="302"/>
      <c r="P50" s="303"/>
      <c r="Q50" s="301"/>
      <c r="R50" s="302"/>
      <c r="S50" s="302"/>
      <c r="T50" s="303"/>
      <c r="U50" s="301"/>
      <c r="V50" s="302"/>
      <c r="W50" s="302"/>
      <c r="X50" s="303"/>
      <c r="Y50" s="154"/>
      <c r="Z50" s="310"/>
      <c r="AA50" s="311"/>
      <c r="AB50" s="311"/>
      <c r="AC50" s="311"/>
      <c r="AD50" s="311"/>
      <c r="AE50" s="312"/>
      <c r="AG50" s="17"/>
      <c r="AH50" s="17"/>
      <c r="AI50" s="17"/>
      <c r="AJ50" s="17"/>
      <c r="AK50" s="17"/>
      <c r="AL50" s="17"/>
      <c r="AM50" s="17"/>
    </row>
    <row r="51" spans="1:45" ht="15" customHeight="1">
      <c r="A51" s="322" t="s">
        <v>102</v>
      </c>
      <c r="B51" s="323"/>
      <c r="C51" s="320" t="s">
        <v>103</v>
      </c>
      <c r="D51" s="320" t="s">
        <v>104</v>
      </c>
      <c r="E51" s="162" t="s">
        <v>105</v>
      </c>
      <c r="F51" s="76"/>
      <c r="G51" s="76"/>
      <c r="H51" s="76"/>
      <c r="I51" s="76"/>
      <c r="J51" s="76"/>
      <c r="K51" s="152"/>
      <c r="L51" s="152"/>
      <c r="M51" s="301"/>
      <c r="N51" s="302"/>
      <c r="O51" s="302"/>
      <c r="P51" s="303"/>
      <c r="Q51" s="301"/>
      <c r="R51" s="302"/>
      <c r="S51" s="302"/>
      <c r="T51" s="303"/>
      <c r="U51" s="301"/>
      <c r="V51" s="302"/>
      <c r="W51" s="302"/>
      <c r="X51" s="303"/>
      <c r="Y51" s="154"/>
      <c r="Z51" s="310"/>
      <c r="AA51" s="311"/>
      <c r="AB51" s="311"/>
      <c r="AC51" s="311"/>
      <c r="AD51" s="311"/>
      <c r="AE51" s="312"/>
      <c r="AG51" s="17"/>
      <c r="AH51" s="17"/>
      <c r="AI51" s="17"/>
      <c r="AJ51" s="17"/>
      <c r="AK51" s="17"/>
      <c r="AL51" s="17"/>
      <c r="AM51" s="17"/>
    </row>
    <row r="52" spans="1:45" ht="15" customHeight="1">
      <c r="A52" s="324"/>
      <c r="B52" s="325"/>
      <c r="C52" s="326"/>
      <c r="D52" s="326"/>
      <c r="E52" s="163" t="s">
        <v>106</v>
      </c>
      <c r="F52" s="164"/>
      <c r="G52" s="164"/>
      <c r="H52" s="164"/>
      <c r="I52" s="164"/>
      <c r="J52" s="164"/>
      <c r="K52" s="165"/>
      <c r="L52" s="152"/>
      <c r="M52" s="304"/>
      <c r="N52" s="305"/>
      <c r="O52" s="305"/>
      <c r="P52" s="306"/>
      <c r="Q52" s="304"/>
      <c r="R52" s="305"/>
      <c r="S52" s="305"/>
      <c r="T52" s="306"/>
      <c r="U52" s="304"/>
      <c r="V52" s="305"/>
      <c r="W52" s="305"/>
      <c r="X52" s="306"/>
      <c r="Y52" s="166"/>
      <c r="Z52" s="313"/>
      <c r="AA52" s="314"/>
      <c r="AB52" s="314"/>
      <c r="AC52" s="314"/>
      <c r="AD52" s="314"/>
      <c r="AE52" s="315"/>
      <c r="AG52" s="17"/>
      <c r="AH52" s="17"/>
      <c r="AI52" s="17"/>
      <c r="AJ52" s="17"/>
      <c r="AK52" s="17"/>
      <c r="AL52" s="17"/>
      <c r="AM52" s="17"/>
    </row>
    <row r="53" spans="1:45" ht="6.75" customHeight="1">
      <c r="A53" s="167"/>
      <c r="B53" s="168"/>
      <c r="C53" s="28"/>
      <c r="D53" s="28"/>
      <c r="E53" s="76"/>
      <c r="F53" s="76"/>
      <c r="G53" s="76"/>
      <c r="H53" s="76"/>
      <c r="I53" s="76"/>
      <c r="J53" s="76"/>
      <c r="K53" s="76"/>
      <c r="L53" s="76"/>
      <c r="M53" s="169"/>
      <c r="N53" s="169"/>
      <c r="O53" s="169"/>
      <c r="P53" s="17"/>
      <c r="Q53" s="17"/>
      <c r="AE53" s="18"/>
      <c r="AG53" s="17"/>
      <c r="AH53" s="17"/>
      <c r="AI53" s="17"/>
      <c r="AJ53" s="17"/>
      <c r="AK53" s="17"/>
      <c r="AL53" s="17"/>
      <c r="AM53" s="17"/>
    </row>
    <row r="54" spans="1:45" ht="15" customHeight="1">
      <c r="A54" s="162" t="s">
        <v>107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AE54" s="18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65"/>
    </row>
    <row r="55" spans="1:45" ht="8.25" customHeight="1" thickBot="1">
      <c r="A55" s="170"/>
      <c r="B55" s="1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172"/>
      <c r="Q55" s="172"/>
      <c r="R55" s="64"/>
      <c r="S55" s="64"/>
      <c r="T55" s="17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74"/>
      <c r="AG55" s="30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8.1" customHeight="1">
      <c r="A56" s="175"/>
      <c r="B56" s="176"/>
      <c r="C56" s="176"/>
      <c r="D56" s="176"/>
      <c r="E56" s="293"/>
      <c r="F56" s="293"/>
      <c r="G56" s="177"/>
      <c r="H56" s="177"/>
      <c r="I56" s="177"/>
      <c r="J56" s="177"/>
      <c r="K56" s="177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spans="1:45" ht="15.75" customHeight="1">
      <c r="A57" s="294" t="s">
        <v>108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5" t="s">
        <v>109</v>
      </c>
      <c r="L57" s="295"/>
      <c r="M57" s="295"/>
      <c r="N57" s="295"/>
      <c r="O57" s="295"/>
      <c r="P57" s="295"/>
      <c r="Q57" s="295"/>
      <c r="R57" s="295"/>
      <c r="S57" s="296" t="s">
        <v>110</v>
      </c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</row>
    <row r="58" spans="1:45" ht="6" hidden="1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</row>
  </sheetData>
  <sheetProtection formatCells="0" formatRows="0" selectLockedCells="1" selectUnlockedCells="1"/>
  <mergeCells count="142">
    <mergeCell ref="E56:F56"/>
    <mergeCell ref="A57:J57"/>
    <mergeCell ref="K57:R57"/>
    <mergeCell ref="S57:AE57"/>
    <mergeCell ref="A58:J58"/>
    <mergeCell ref="K58:R58"/>
    <mergeCell ref="S58:AE58"/>
    <mergeCell ref="U47:X52"/>
    <mergeCell ref="Z47:AE52"/>
    <mergeCell ref="A49:B50"/>
    <mergeCell ref="C49:C50"/>
    <mergeCell ref="D49:D50"/>
    <mergeCell ref="A51:B52"/>
    <mergeCell ref="C51:C52"/>
    <mergeCell ref="D51:D52"/>
    <mergeCell ref="A47:B48"/>
    <mergeCell ref="C47:C48"/>
    <mergeCell ref="D47:D48"/>
    <mergeCell ref="E47:K48"/>
    <mergeCell ref="M47:P52"/>
    <mergeCell ref="Q47:T52"/>
    <mergeCell ref="C45:C46"/>
    <mergeCell ref="D45:D46"/>
    <mergeCell ref="E45:K46"/>
    <mergeCell ref="M45:P46"/>
    <mergeCell ref="Q45:T46"/>
    <mergeCell ref="U45:X46"/>
    <mergeCell ref="C39:AE39"/>
    <mergeCell ref="A40:B40"/>
    <mergeCell ref="C40:AE40"/>
    <mergeCell ref="A41:B41"/>
    <mergeCell ref="A42:B42"/>
    <mergeCell ref="A44:B44"/>
    <mergeCell ref="E44:K44"/>
    <mergeCell ref="M44:X44"/>
    <mergeCell ref="Z44:AE46"/>
    <mergeCell ref="A45:B46"/>
    <mergeCell ref="L34:M34"/>
    <mergeCell ref="A35:H35"/>
    <mergeCell ref="I35:Q35"/>
    <mergeCell ref="A36:B36"/>
    <mergeCell ref="A37:B37"/>
    <mergeCell ref="C37:AE37"/>
    <mergeCell ref="J30:K30"/>
    <mergeCell ref="L30:M30"/>
    <mergeCell ref="A31:Q31"/>
    <mergeCell ref="I32:I34"/>
    <mergeCell ref="J32:K32"/>
    <mergeCell ref="L32:M32"/>
    <mergeCell ref="P32:Q34"/>
    <mergeCell ref="J33:K33"/>
    <mergeCell ref="L33:M33"/>
    <mergeCell ref="J34:K34"/>
    <mergeCell ref="P24:Q30"/>
    <mergeCell ref="AH24:AH27"/>
    <mergeCell ref="A25:H25"/>
    <mergeCell ref="J25:K25"/>
    <mergeCell ref="L25:M25"/>
    <mergeCell ref="J26:K26"/>
    <mergeCell ref="L26:M26"/>
    <mergeCell ref="J27:K27"/>
    <mergeCell ref="L27:M27"/>
    <mergeCell ref="J28:K28"/>
    <mergeCell ref="A22:H22"/>
    <mergeCell ref="J22:K22"/>
    <mergeCell ref="L22:M22"/>
    <mergeCell ref="A23:H23"/>
    <mergeCell ref="I24:I30"/>
    <mergeCell ref="J24:K24"/>
    <mergeCell ref="L24:M24"/>
    <mergeCell ref="L28:M28"/>
    <mergeCell ref="J29:K29"/>
    <mergeCell ref="L29:M29"/>
    <mergeCell ref="L18:M18"/>
    <mergeCell ref="J19:M19"/>
    <mergeCell ref="P19:Q19"/>
    <mergeCell ref="I20:I22"/>
    <mergeCell ref="J20:K20"/>
    <mergeCell ref="L20:M20"/>
    <mergeCell ref="P20:Q22"/>
    <mergeCell ref="J21:K21"/>
    <mergeCell ref="L21:M21"/>
    <mergeCell ref="AH10:AH13"/>
    <mergeCell ref="J11:K11"/>
    <mergeCell ref="L11:M11"/>
    <mergeCell ref="R11:S11"/>
    <mergeCell ref="W11:X11"/>
    <mergeCell ref="Y11:Z11"/>
    <mergeCell ref="AA11:AB11"/>
    <mergeCell ref="AC11:AD11"/>
    <mergeCell ref="J12:K12"/>
    <mergeCell ref="L12:M12"/>
    <mergeCell ref="Y13:Z13"/>
    <mergeCell ref="AA13:AB13"/>
    <mergeCell ref="AC13:AD13"/>
    <mergeCell ref="Z8:AE8"/>
    <mergeCell ref="A9:Q9"/>
    <mergeCell ref="I10:I18"/>
    <mergeCell ref="J10:K10"/>
    <mergeCell ref="L10:M10"/>
    <mergeCell ref="P10:Q18"/>
    <mergeCell ref="J13:K13"/>
    <mergeCell ref="L13:M13"/>
    <mergeCell ref="R13:S13"/>
    <mergeCell ref="W13:X13"/>
    <mergeCell ref="AA15:AB15"/>
    <mergeCell ref="AC15:AD15"/>
    <mergeCell ref="J16:K16"/>
    <mergeCell ref="L16:M16"/>
    <mergeCell ref="J17:K17"/>
    <mergeCell ref="L17:M17"/>
    <mergeCell ref="J14:K14"/>
    <mergeCell ref="L14:M14"/>
    <mergeCell ref="J15:K15"/>
    <mergeCell ref="L15:M15"/>
    <mergeCell ref="R15:S15"/>
    <mergeCell ref="W15:X15"/>
    <mergeCell ref="Y15:Z15"/>
    <mergeCell ref="J18:K18"/>
    <mergeCell ref="K6:Q6"/>
    <mergeCell ref="A7:Q7"/>
    <mergeCell ref="A8:H8"/>
    <mergeCell ref="J8:M8"/>
    <mergeCell ref="N8:O8"/>
    <mergeCell ref="P8:Q8"/>
    <mergeCell ref="S8:Y8"/>
    <mergeCell ref="A4:B5"/>
    <mergeCell ref="C4:G5"/>
    <mergeCell ref="H4:H5"/>
    <mergeCell ref="I4:Q5"/>
    <mergeCell ref="S4:S5"/>
    <mergeCell ref="T4:V5"/>
    <mergeCell ref="A1:AC2"/>
    <mergeCell ref="AD1:AE2"/>
    <mergeCell ref="A3:B3"/>
    <mergeCell ref="C3:Q3"/>
    <mergeCell ref="T3:V3"/>
    <mergeCell ref="W3:X3"/>
    <mergeCell ref="Z3:AE3"/>
    <mergeCell ref="W4:X5"/>
    <mergeCell ref="Z4:AB5"/>
    <mergeCell ref="AC4:AE5"/>
  </mergeCells>
  <conditionalFormatting sqref="N20:O22 N32:O34 N10:O18 N24:O30">
    <cfRule type="cellIs" dxfId="3" priority="6" operator="greaterThan">
      <formula>0</formula>
    </cfRule>
  </conditionalFormatting>
  <conditionalFormatting sqref="I4">
    <cfRule type="cellIs" dxfId="2" priority="3" stopIfTrue="1" operator="equal">
      <formula>""</formula>
    </cfRule>
  </conditionalFormatting>
  <conditionalFormatting sqref="C3">
    <cfRule type="cellIs" dxfId="1" priority="2" stopIfTrue="1" operator="equal">
      <formula>""</formula>
    </cfRule>
  </conditionalFormatting>
  <conditionalFormatting sqref="C4">
    <cfRule type="cellIs" dxfId="0" priority="1" stopIfTrue="1" operator="equal">
      <formula>""</formula>
    </cfRule>
  </conditionalFormatting>
  <printOptions horizontalCentered="1" verticalCentered="1"/>
  <pageMargins left="0" right="0" top="0" bottom="0" header="0" footer="0"/>
  <pageSetup paperSize="9" scale="7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39fdbd-f54b-434e-842b-82b931b6432a" xsi:nil="true"/>
    <lcf76f155ced4ddcb4097134ff3c332f xmlns="11ee7552-65b1-4422-9f6f-cd3a7c4bfef4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Resp_x002e_ xmlns="11ee7552-65b1-4422-9f6f-cd3a7c4bfef4" xsi:nil="true"/>
    <Resp_x002e_0 xmlns="11ee7552-65b1-4422-9f6f-cd3a7c4bfef4" xsi:nil="true"/>
    <_ApprovalAssignedTo xmlns="11ee7552-65b1-4422-9f6f-cd3a7c4bfef4">
      <UserInfo>
        <DisplayName/>
        <AccountId xsi:nil="true"/>
        <AccountType/>
      </UserInfo>
    </_ApprovalAssignedTo>
    <_ApprovalRespondedBy xmlns="11ee7552-65b1-4422-9f6f-cd3a7c4bfef4">
      <UserInfo>
        <DisplayName/>
        <AccountId xsi:nil="true"/>
        <AccountType/>
      </UserInfo>
    </_ApprovalRespondedBy>
    <_ApprovalStatus xmlns="11ee7552-65b1-4422-9f6f-cd3a7c4bfef4">0</_ApprovalStatus>
    <_ApprovalSentBy xmlns="11ee7552-65b1-4422-9f6f-cd3a7c4bfef4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69DD45FB40F49AE64BD8BF5D31714" ma:contentTypeVersion="22" ma:contentTypeDescription="Create a new document." ma:contentTypeScope="" ma:versionID="682a973e0bd0a12526c64245c1a77b6e">
  <xsd:schema xmlns:xsd="http://www.w3.org/2001/XMLSchema" xmlns:xs="http://www.w3.org/2001/XMLSchema" xmlns:p="http://schemas.microsoft.com/office/2006/metadata/properties" xmlns:ns1="http://schemas.microsoft.com/sharepoint/v3" xmlns:ns2="11ee7552-65b1-4422-9f6f-cd3a7c4bfef4" xmlns:ns3="e939fdbd-f54b-434e-842b-82b931b6432a" targetNamespace="http://schemas.microsoft.com/office/2006/metadata/properties" ma:root="true" ma:fieldsID="00e10dfedc976eed4a9519f43fbed372" ns1:_="" ns2:_="" ns3:_="">
    <xsd:import namespace="http://schemas.microsoft.com/sharepoint/v3"/>
    <xsd:import namespace="11ee7552-65b1-4422-9f6f-cd3a7c4bfef4"/>
    <xsd:import namespace="e939fdbd-f54b-434e-842b-82b931b643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Resp_x002e_" minOccurs="0"/>
                <xsd:element ref="ns2:Resp_x002e_0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e7552-65b1-4422-9f6f-cd3a7c4bfe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c087e5-72d2-4312-82d2-fb266be8d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Resp_x002e_" ma:index="23" nillable="true" ma:displayName="P.I.C" ma:format="Dropdown" ma:internalName="Resp_x002e_">
      <xsd:simpleType>
        <xsd:restriction base="dms:Text">
          <xsd:maxLength value="255"/>
        </xsd:restriction>
      </xsd:simpleType>
    </xsd:element>
    <xsd:element name="Resp_x002e_0" ma:index="24" nillable="true" ma:displayName="Resp." ma:format="Dropdown" ma:internalName="Resp_x002e_0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6" nillable="true" ma:displayName="承認者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7" nillable="true" ma:displayName="返信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8" nillable="true" ma:displayName="承認作成者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9" nillable="true" ma:displayName="承認の状態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39fdbd-f54b-434e-842b-82b931b643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f781f-19ef-45ab-8422-aa9b7351a6d3}" ma:internalName="TaxCatchAll" ma:showField="CatchAllData" ma:web="e939fdbd-f54b-434e-842b-82b931b643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C199F6-7F50-4904-812A-45BAA5681368}"/>
</file>

<file path=customXml/itemProps2.xml><?xml version="1.0" encoding="utf-8"?>
<ds:datastoreItem xmlns:ds="http://schemas.openxmlformats.org/officeDocument/2006/customXml" ds:itemID="{A4839A76-74DD-4A9A-9BAA-141ED4C782ED}"/>
</file>

<file path=customXml/itemProps3.xml><?xml version="1.0" encoding="utf-8"?>
<ds:datastoreItem xmlns:ds="http://schemas.openxmlformats.org/officeDocument/2006/customXml" ds:itemID="{8DB0CDCB-2532-4C58-869F-70E3FBCD7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Sabaitip Dasri</dc:creator>
  <cp:keywords/>
  <dc:description/>
  <cp:lastModifiedBy>Soranan Pasuk</cp:lastModifiedBy>
  <cp:revision/>
  <dcterms:created xsi:type="dcterms:W3CDTF">2019-03-22T06:17:12Z</dcterms:created>
  <dcterms:modified xsi:type="dcterms:W3CDTF">2026-09-08T14:48:42Z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0x010100F3169DD45FB40F49AE64BD8BF5D31714</vt:lpwstr>
  </property>
  <property fmtid="{D5CDD505-2E9C-101B-9397-08002B2CF9AE}" pid="3" name="MediaServiceImageTags">
    <vt:lpwstr/>
  </property>
</Properties>
</file>